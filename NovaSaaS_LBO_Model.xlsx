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mt" sheetId="3" state="visible" r:id="rId5"/>
    <sheet name="Debt Schedule" sheetId="4" state="visible" r:id="rId6"/>
    <sheet name="FCF" sheetId="5" state="visible" r:id="rId7"/>
    <sheet name="Returns" sheetId="6" state="visible" r:id="rId8"/>
    <sheet name="Sensitivity" sheetId="7" state="visible" r:id="rId9"/>
  </sheets>
  <calcPr iterateCount="100" refMode="A1" iterate="false" iterateDelta="0.0001"/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Switch 1/2/3 to flip the whole model between scenarios.</t>
        </r>
      </text>
    </comment>
    <comment ref="C19" authorId="0">
      <text>
        <r>
          <rPr>
            <sz val="10"/>
            <rFont val="Arial"/>
            <family val="2"/>
          </rPr>
          <t xml:space="preserve">Hardcoded at 26.2 (rounded) per the investment memo. The Income Statement computes LTM EBITDA as 48.0 x 54.5% = 26.16. The 26.2 convention keeps Entry EV at 484.7 (18.5x), tying exactly to the memo's Sources &amp; Uses. Both figures round to 26.2 / 10.2x leverage.</t>
        </r>
      </text>
    </comment>
    <comment ref="C31" authorId="0">
      <text>
        <r>
          <rPr>
            <sz val="10"/>
            <rFont val="Arial"/>
            <family val="2"/>
          </rPr>
          <t xml:space="preserve">Implied SOFR. NOTE: ~5.3% is high for 2026; current 3M SOFR is closer to ~4.3%. Editable.</t>
        </r>
      </text>
    </comment>
    <comment ref="C48" authorId="0">
      <text>
        <r>
          <rPr>
            <sz val="10"/>
            <rFont val="Arial"/>
            <family val="2"/>
          </rPr>
          <t xml:space="preserve">Funded sponsor equity = Total Uses less debt less rollover. Includes fees. This is the invested-equity figure used in Returns.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1" authorId="0">
      <text>
        <r>
          <rPr>
            <sz val="10"/>
            <rFont val="Arial"/>
            <family val="2"/>
          </rPr>
          <t xml:space="preserve">G&amp;A is the implied balancing line: EBITDA is driven top-down by the margin assumption, so G&amp;A flexes to reconcile. Margin expansion is therefore expressed via G&amp;A operating leverage.</t>
        </r>
      </text>
    </comment>
    <comment ref="B17" authorId="0">
      <text>
        <r>
          <rPr>
            <sz val="10"/>
            <rFont val="Arial"/>
            <family val="2"/>
          </rPr>
          <t xml:space="preserve">LTM is the pre-acquisition (standalone) period: it carries NO LBO financing. Leverage P&amp;L begins in Year 1.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Entry = static opening snapshot (t=0): no amortisation, sweep or interest. Deleveraging runs Years 1-5 only.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Cash available for debt principal after interest. With a 100% sweep this is fully applied to amort + TLB sweep, so Net Cash Flow nets to ~0 until TLB is repaid.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9" authorId="0">
      <text>
        <r>
          <rPr>
            <sz val="10"/>
            <rFont val="Arial"/>
            <family val="2"/>
          </rPr>
          <t xml:space="preserve">Sponsor share of total exit equity. Management rollover dilutes the sponsor pro-rata; the 10% MIP on gains is excluded (conservative: actual sponsor proceeds slightly lower).</t>
        </r>
      </text>
    </comment>
  </commentList>
</comments>
</file>

<file path=xl/sharedStrings.xml><?xml version="1.0" encoding="utf-8"?>
<sst xmlns="http://schemas.openxmlformats.org/spreadsheetml/2006/main" count="243" uniqueCount="204">
  <si>
    <t xml:space="preserve">LEVERAGED BUYOUT MODEL</t>
  </si>
  <si>
    <t xml:space="preserve">NovaSaaS Inc.  ·  Radice Capital Partners</t>
  </si>
  <si>
    <t xml:space="preserve">Entry EV $485m  ·  18.5x LTM EBITDA  ·  March 2026</t>
  </si>
  <si>
    <t xml:space="preserve">5-Year Hold  ·  Base Gross IRR 24.0%  ·  MoM 2.9x  ·  Net IRR 20.5%</t>
  </si>
  <si>
    <t xml:space="preserve">PRIVATE &amp; CONFIDENTIAL · FICTIONAL CASE STUDY</t>
  </si>
  <si>
    <t xml:space="preserve">TABLE OF CONTENTS</t>
  </si>
  <si>
    <t xml:space="preserve">1.  Assumptions &amp; Sources / Uses  (scenario-driven)</t>
  </si>
  <si>
    <t xml:space="preserve">2.  Income Statement</t>
  </si>
  <si>
    <t xml:space="preserve">3.  Debt Schedule &amp; PIK Toggle</t>
  </si>
  <si>
    <t xml:space="preserve">4.  Free Cash Flow</t>
  </si>
  <si>
    <t xml:space="preserve">5.  Returns &amp; Fee Waterfall</t>
  </si>
  <si>
    <t xml:space="preserve">6.  Sensitivity Analysis</t>
  </si>
  <si>
    <t xml:space="preserve">COLOUR CODING</t>
  </si>
  <si>
    <t xml:space="preserve">Hardcoded inputs (blue): user-editable assumptions</t>
  </si>
  <si>
    <t xml:space="preserve">Cross-sheet links (green): auto-populated from other tabs</t>
  </si>
  <si>
    <t xml:space="preserve">Formulas (black): calculated cells, do not override</t>
  </si>
  <si>
    <t xml:space="preserve">Notes (grey): commentary, not model inputs</t>
  </si>
  <si>
    <t xml:space="preserve">Prepared by: Alessandro Radice  ·  March 2026  ·  Fictional case study, all data hypothetical</t>
  </si>
  <si>
    <t xml:space="preserve">ASSUMPTIONS  &amp;  SOURCES / USES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</si>
  <si>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</si>
  <si>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</si>
  <si>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</si>
  <si>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</si>
  <si>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</si>
  <si>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  SCENARIO CONTROL</t>
  </si>
  <si>
    <t xml:space="preserve">Active Scenario   (1 = Downside · 2 = Base · 3 = Upside)</t>
  </si>
  <si>
    <t xml:space="preserve">Active Scenario</t>
  </si>
  <si>
    <t xml:space="preserve">Revenue Growth by Scenario</t>
  </si>
  <si>
    <t xml:space="preserve">Downside</t>
  </si>
  <si>
    <t xml:space="preserve">Base</t>
  </si>
  <si>
    <t xml:space="preserve">Upside</t>
  </si>
  <si>
    <t xml:space="preserve">Active Growth Path</t>
  </si>
  <si>
    <t xml:space="preserve">Exit EV/EBITDA by Scenario  (D / B / U)</t>
  </si>
  <si>
    <t xml:space="preserve">Active Exit EV/EBITDA</t>
  </si>
  <si>
    <t xml:space="preserve">  TRANSACTION ASSUMPTIONS</t>
  </si>
  <si>
    <t xml:space="preserve">Entry Year</t>
  </si>
  <si>
    <t xml:space="preserve">Hold Period (years)</t>
  </si>
  <si>
    <t xml:space="preserve">Entry EV / LTM EBITDA</t>
  </si>
  <si>
    <t xml:space="preserve">Exit EV / LTM EBITDA  (active scenario)</t>
  </si>
  <si>
    <t xml:space="preserve">LTM EBITDA ($mm)</t>
  </si>
  <si>
    <t xml:space="preserve">Entry Enterprise Value ($mm)</t>
  </si>
  <si>
    <t xml:space="preserve">Total Debt  (55% EV)</t>
  </si>
  <si>
    <t xml:space="preserve">  OPERATING ASSUMPTIONS</t>
  </si>
  <si>
    <t xml:space="preserve">LTM Revenue ($mm)</t>
  </si>
  <si>
    <t xml:space="preserve">LTM EBITDA Margin</t>
  </si>
  <si>
    <t xml:space="preserve">EBITDA Margin Expansion / yr</t>
  </si>
  <si>
    <t xml:space="preserve">D&amp;A as % Revenue</t>
  </si>
  <si>
    <t xml:space="preserve">CapEx as % Revenue</t>
  </si>
  <si>
    <t xml:space="preserve">Change in NWC as % Rev Δ</t>
  </si>
  <si>
    <t xml:space="preserve">Cash Tax Rate</t>
  </si>
  <si>
    <t xml:space="preserve">SOFR (floating base rate)</t>
  </si>
  <si>
    <t xml:space="preserve">TLB Spread (bps over SOFR)</t>
  </si>
  <si>
    <t xml:space="preserve">TLB All-In Rate  (SOFR + Spread)</t>
  </si>
  <si>
    <t xml:space="preserve">Unitranche Rate (fixed)</t>
  </si>
  <si>
    <t xml:space="preserve">PIK Notes Rate (accretes)</t>
  </si>
  <si>
    <t xml:space="preserve">  SOURCES &amp; USES  ($mm)</t>
  </si>
  <si>
    <t xml:space="preserve">USES</t>
  </si>
  <si>
    <t xml:space="preserve">Purchase Enterprise Value</t>
  </si>
  <si>
    <t xml:space="preserve">Transaction Fees (2.0%)</t>
  </si>
  <si>
    <t xml:space="preserve">Financing Fees (1.5%)</t>
  </si>
  <si>
    <t xml:space="preserve">Total Uses</t>
  </si>
  <si>
    <t xml:space="preserve">SOURCES</t>
  </si>
  <si>
    <t xml:space="preserve">Term Loan B  (35% EV · SOFR+350)</t>
  </si>
  <si>
    <t xml:space="preserve">Unitranche / 2nd Lien  (15% EV)</t>
  </si>
  <si>
    <t xml:space="preserve">PIK Notes  (5% EV · toggle)</t>
  </si>
  <si>
    <t xml:space="preserve">Management Rollover  (3% EV)</t>
  </si>
  <si>
    <t xml:space="preserve">Sponsor Equity  (residual / funded)</t>
  </si>
  <si>
    <t xml:space="preserve">Total Sources</t>
  </si>
  <si>
    <t xml:space="preserve">  DEBT TRANCHE SUMMARY</t>
  </si>
  <si>
    <t xml:space="preserve">Tranche</t>
  </si>
  <si>
    <t xml:space="preserve">Amount</t>
  </si>
  <si>
    <t xml:space="preserve">x EBITDA</t>
  </si>
  <si>
    <t xml:space="preserve">Rate</t>
  </si>
  <si>
    <t xml:space="preserve">Structure</t>
  </si>
  <si>
    <t xml:space="preserve">Term Loan B</t>
  </si>
  <si>
    <t xml:space="preserve">Cash · 1% amort + cash sweep</t>
  </si>
  <si>
    <t xml:space="preserve">Unitranche</t>
  </si>
  <si>
    <t xml:space="preserve">Cash · bullet at exit</t>
  </si>
  <si>
    <t xml:space="preserve">PIK Notes</t>
  </si>
  <si>
    <t xml:space="preserve">PIK · accretes to principal</t>
  </si>
  <si>
    <t xml:space="preserve">Total Debt</t>
  </si>
  <si>
    <t xml:space="preserve">Entry Leverage →</t>
  </si>
  <si>
    <t xml:space="preserve">INCOME STATEMENT  ($mm)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</si>
  <si>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</si>
  <si>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</si>
  <si>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</si>
  <si>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</si>
  <si>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</si>
  <si>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</si>
  <si>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  REVENUE</t>
  </si>
  <si>
    <t xml:space="preserve">Subscription (ARR)</t>
  </si>
  <si>
    <t xml:space="preserve">Professional Services</t>
  </si>
  <si>
    <t xml:space="preserve">Other</t>
  </si>
  <si>
    <t xml:space="preserve">Total Revenue</t>
  </si>
  <si>
    <t xml:space="preserve">  EBITDA BRIDGE</t>
  </si>
  <si>
    <t xml:space="preserve">Gross Profit (82%)</t>
  </si>
  <si>
    <t xml:space="preserve">S&amp;M Expense (12%)</t>
  </si>
  <si>
    <t xml:space="preserve">R&amp;D Expense (10%)</t>
  </si>
  <si>
    <t xml:space="preserve">G&amp;A Expense (implied / balancing)</t>
  </si>
  <si>
    <t xml:space="preserve">EBITDA</t>
  </si>
  <si>
    <t xml:space="preserve">EBITDA Margin</t>
  </si>
  <si>
    <t xml:space="preserve">  BELOW-THE-LINE</t>
  </si>
  <si>
    <t xml:space="preserve">D&amp;A</t>
  </si>
  <si>
    <t xml:space="preserve">EBIT</t>
  </si>
  <si>
    <t xml:space="preserve">Cash Interest</t>
  </si>
  <si>
    <t xml:space="preserve">PIK Accrual</t>
  </si>
  <si>
    <t xml:space="preserve">EBT (pre-tax)</t>
  </si>
  <si>
    <t xml:space="preserve">Cash Taxes</t>
  </si>
  <si>
    <t xml:space="preserve">Net Income</t>
  </si>
  <si>
    <t xml:space="preserve">Revenue Growth YoY</t>
  </si>
  <si>
    <t xml:space="preserve">DEBT SCHEDULE &amp; PIK TOGGLE  ($mm)</t>
  </si>
  <si>
    <t xml:space="preserve">Entry</t>
  </si>
  <si>
    <t xml:space="preserve">  TERM LOAN B  (SOFR + 350bps · 1% amort + cash sweep)</t>
  </si>
  <si>
    <t xml:space="preserve">Opening Balance</t>
  </si>
  <si>
    <t xml:space="preserve">Mandatory Amortisation (1%)</t>
  </si>
  <si>
    <t xml:space="preserve">Cash Sweep (100% excess FCF)</t>
  </si>
  <si>
    <t xml:space="preserve">Closing Balance</t>
  </si>
  <si>
    <t xml:space="preserve">Cash Interest (opening basis)</t>
  </si>
  <si>
    <t xml:space="preserve">  UNITRANCHE  (8.5% Fixed · bullet)</t>
  </si>
  <si>
    <t xml:space="preserve">Opening Balance (bullet)</t>
  </si>
  <si>
    <t xml:space="preserve">  PIK NOTES  (8.5% · Toggle · accretes)</t>
  </si>
  <si>
    <t xml:space="preserve">PIK Accrual (8.5% on opening)</t>
  </si>
  <si>
    <t xml:space="preserve">  TOTALS</t>
  </si>
  <si>
    <t xml:space="preserve">Total Cash Interest</t>
  </si>
  <si>
    <t xml:space="preserve">Total PIK Accrual</t>
  </si>
  <si>
    <t xml:space="preserve">Total Debt (net)</t>
  </si>
  <si>
    <t xml:space="preserve">Net Leverage (x EBITDA)</t>
  </si>
  <si>
    <t xml:space="preserve">FREE CASH FLOW  ($mm)</t>
  </si>
  <si>
    <t xml:space="preserve">  UNLEVERED FREE CASH FLOW</t>
  </si>
  <si>
    <t xml:space="preserve">Less: CapEx</t>
  </si>
  <si>
    <t xml:space="preserve">Change in NWC</t>
  </si>
  <si>
    <t xml:space="preserve">Less: Cash Taxes</t>
  </si>
  <si>
    <t xml:space="preserve">Unlevered FCF</t>
  </si>
  <si>
    <t xml:space="preserve">  LEVERED FCF &amp; DEBT SERVICE</t>
  </si>
  <si>
    <t xml:space="preserve">Less: Cash Interest</t>
  </si>
  <si>
    <t xml:space="preserve">Levered FCF (cash for debt service)</t>
  </si>
  <si>
    <t xml:space="preserve">Less: Mandatory Amortisation</t>
  </si>
  <si>
    <t xml:space="preserve">Less: Cash Sweep</t>
  </si>
  <si>
    <t xml:space="preserve">Net Cash Flow (to balance sheet)</t>
  </si>
  <si>
    <t xml:space="preserve">RETURNS ANALYSIS &amp; FEE WATERFALL</t>
  </si>
  <si>
    <t xml:space="preserve">  EXIT ASSUMPTIONS</t>
  </si>
  <si>
    <t xml:space="preserve">Exit EBITDA ($mm)</t>
  </si>
  <si>
    <t xml:space="preserve">Exit EV / EBITDA  (active)</t>
  </si>
  <si>
    <t xml:space="preserve">Exit Enterprise Value ($mm)</t>
  </si>
  <si>
    <t xml:space="preserve">Less: Net Debt at Exit</t>
  </si>
  <si>
    <t xml:space="preserve">Total Exit Equity ($mm)</t>
  </si>
  <si>
    <t xml:space="preserve">Sponsor Ownership % (excl. rollover &amp; MIP)</t>
  </si>
  <si>
    <t xml:space="preserve">Sponsor Exit Equity ($mm)</t>
  </si>
  <si>
    <t xml:space="preserve">  RETURN METRICS</t>
  </si>
  <si>
    <t xml:space="preserve">Benchmark</t>
  </si>
  <si>
    <t xml:space="preserve">Invested Equity: Sponsor ($mm)</t>
  </si>
  <si>
    <t xml:space="preserve">–</t>
  </si>
  <si>
    <t xml:space="preserve">Gross MoM</t>
  </si>
  <si>
    <t xml:space="preserve">&gt;2.5x</t>
  </si>
  <si>
    <t xml:space="preserve">Gross IRR</t>
  </si>
  <si>
    <t xml:space="preserve">&gt;20%</t>
  </si>
  <si>
    <t xml:space="preserve">LP Net Proceeds ($mm)</t>
  </si>
  <si>
    <t xml:space="preserve">Net MoM (post pref &amp; carry)</t>
  </si>
  <si>
    <t xml:space="preserve">&gt;2.0x</t>
  </si>
  <si>
    <t xml:space="preserve">Net IRR (post pref &amp; carry)</t>
  </si>
  <si>
    <t xml:space="preserve">&gt;15%</t>
  </si>
  <si>
    <t xml:space="preserve">GP Carried Interest ($mm)</t>
  </si>
  <si>
    <t xml:space="preserve">20% of profit</t>
  </si>
  <si>
    <t xml:space="preserve">  FEE WATERFALL  (on sponsor proceeds)</t>
  </si>
  <si>
    <t xml:space="preserve">Tier</t>
  </si>
  <si>
    <t xml:space="preserve">Amount ($mm)</t>
  </si>
  <si>
    <t xml:space="preserve">% Equity</t>
  </si>
  <si>
    <t xml:space="preserve">Recipient</t>
  </si>
  <si>
    <t xml:space="preserve">Notes</t>
  </si>
  <si>
    <t xml:space="preserve">Return of Capital</t>
  </si>
  <si>
    <t xml:space="preserve">LP</t>
  </si>
  <si>
    <t xml:space="preserve">Entry equity returned first</t>
  </si>
  <si>
    <t xml:space="preserve">Preferred Return 8% p.a.</t>
  </si>
  <si>
    <t xml:space="preserve">Compounded over hold</t>
  </si>
  <si>
    <t xml:space="preserve">GP Catch-Up (20%)</t>
  </si>
  <si>
    <t xml:space="preserve">GP</t>
  </si>
  <si>
    <t xml:space="preserve">Full catch-up on preferred</t>
  </si>
  <si>
    <t xml:space="preserve">LP 80% Residual</t>
  </si>
  <si>
    <t xml:space="preserve">Post catch-up</t>
  </si>
  <si>
    <t xml:space="preserve">GP Carried Interest 20%</t>
  </si>
  <si>
    <t xml:space="preserve">20% carry on profit</t>
  </si>
  <si>
    <t xml:space="preserve">TOTAL = Sponsor Exit Equity</t>
  </si>
  <si>
    <t xml:space="preserve">SENSITIVITY ANALYSIS: IRR &amp; MoM</t>
  </si>
  <si>
    <t xml:space="preserve">  GROSS IRR: Entry Multiple (rows) × Exit Multiple (cols)</t>
  </si>
  <si>
    <t xml:space="preserve">Entry ↓ / Exit →</t>
  </si>
  <si>
    <t xml:space="preserve">13.0x</t>
  </si>
  <si>
    <t xml:space="preserve">14.0x</t>
  </si>
  <si>
    <t xml:space="preserve">15.0x</t>
  </si>
  <si>
    <t xml:space="preserve">16.0x</t>
  </si>
  <si>
    <t xml:space="preserve">17.0x</t>
  </si>
  <si>
    <t xml:space="preserve">16.5x</t>
  </si>
  <si>
    <t xml:space="preserve">17.5x</t>
  </si>
  <si>
    <t xml:space="preserve">18.5x</t>
  </si>
  <si>
    <t xml:space="preserve">19.5x</t>
  </si>
  <si>
    <t xml:space="preserve">20.5x</t>
  </si>
  <si>
    <t xml:space="preserve">  MONEY-ON-MONEY: Entry × Exit</t>
  </si>
  <si>
    <t xml:space="preserve">  LEGEND (darker = higher return)  ·  ★ = base case</t>
  </si>
  <si>
    <t xml:space="preserve">≥ 30% IRR / ≥ 3.5x</t>
  </si>
  <si>
    <t xml:space="preserve">24–30% / 2.9–3.5x</t>
  </si>
  <si>
    <t xml:space="preserve">20–24% / 2.5–2.9x</t>
  </si>
  <si>
    <t xml:space="preserve">14–20% / 1.8–2.5x</t>
  </si>
  <si>
    <t xml:space="preserve">&lt; 14% / &lt; 1.8x</t>
  </si>
  <si>
    <t xml:space="preserve">Note: approximation around the ACTIVE scenario. Entry-multiple axis scales invested equity</t>
  </si>
  <si>
    <t xml:space="preserve">and entry leverage pro-rata; operating plan held at base. Centre cell ties to the Returns tab.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</si>
</sst>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@"/>
    <numFmt numFmtId="167" formatCode="0.0%;\(0.0%\);\-"/>
    <numFmt numFmtId="168" formatCode="0.0\x"/>
    <numFmt numFmtId="169" formatCode="0"/>
    <numFmt numFmtId="170" formatCode="#,##0.0;\(#,##0.0\)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12"/>
      <color rgb="FF999999"/>
      <name val="Arial"/>
      <family val="0"/>
      <charset val="1"/>
    </font>
    <font>
      <sz val="10"/>
      <color rgb="FF999999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70C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999999"/>
      <name val="Arial"/>
      <family val="0"/>
      <charset val="1"/>
    </font>
    <font>
      <sz val="8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0070C0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8"/>
      <color rgb="FFFFFFFF"/>
      <name val="Arial"/>
      <family val="0"/>
      <charset val="1"/>
    </font>
    <font>
      <b val="true"/>
      <sz val="8"/>
      <color rgb="FF333333"/>
      <name val="Arial"/>
      <family val="0"/>
      <charset val="1"/>
    </font>
    <font>
      <sz val="8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1A"/>
        <bgColor rgb="FF0D0D0D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333333"/>
        <bgColor rgb="FF1A1A1A"/>
      </patternFill>
    </fill>
    <fill>
      <patternFill patternType="solid">
        <fgColor rgb="FFE8E8E8"/>
        <bgColor rgb="FFF5F5F5"/>
      </patternFill>
    </fill>
    <fill>
      <patternFill patternType="solid">
        <fgColor rgb="FF666666"/>
        <bgColor rgb="FF4D4D4D"/>
      </patternFill>
    </fill>
    <fill>
      <patternFill patternType="solid">
        <fgColor rgb="FF4D4D4D"/>
        <bgColor rgb="FF666666"/>
      </patternFill>
    </fill>
    <fill>
      <patternFill patternType="solid">
        <fgColor rgb="FF0D0D0D"/>
        <bgColor rgb="FF000000"/>
      </patternFill>
    </fill>
    <fill>
      <patternFill patternType="solid">
        <fgColor rgb="FF808080"/>
        <bgColor rgb="FF999999"/>
      </patternFill>
    </fill>
    <fill>
      <patternFill patternType="solid">
        <fgColor rgb="FFBFBFB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227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E8E8E8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66666"/>
      <rgbColor rgb="FF999999"/>
      <rgbColor rgb="FF003366"/>
      <rgbColor rgb="FF339966"/>
      <rgbColor rgb="FF0D0D0D"/>
      <rgbColor rgb="FF1A1A1A"/>
      <rgbColor rgb="FF993300"/>
      <rgbColor rgb="FF993366"/>
      <rgbColor rgb="FF4D4D4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3" min="3" style="1" width="22"/>
  </cols>
  <sheetData>
    <row r="1" customFormat="false" ht="15" hidden="false" customHeight="true" outlineLevel="0" collapsed="false">
      <c r="A1" s="2"/>
      <c r="B1" s="2"/>
      <c r="C1" s="2"/>
      <c r="D1" s="2"/>
    </row>
    <row r="2" customFormat="false" ht="21.75" hidden="false" customHeight="true" outlineLevel="0" collapsed="false">
      <c r="A2" s="2"/>
      <c r="B2" s="3" t="s">
        <v>0</v>
      </c>
      <c r="C2" s="2"/>
      <c r="D2" s="2"/>
    </row>
    <row r="3" customFormat="false" ht="15" hidden="false" customHeight="true" outlineLevel="0" collapsed="false">
      <c r="A3" s="2"/>
      <c r="B3" s="4" t="s">
        <v>1</v>
      </c>
      <c r="C3" s="2"/>
      <c r="D3" s="2"/>
    </row>
    <row r="4" customFormat="false" ht="15" hidden="false" customHeight="true" outlineLevel="0" collapsed="false">
      <c r="A4" s="2"/>
      <c r="B4" s="5" t="s">
        <v>2</v>
      </c>
      <c r="C4" s="2"/>
      <c r="D4" s="2"/>
    </row>
    <row r="5" customFormat="false" ht="15" hidden="false" customHeight="true" outlineLevel="0" collapsed="false">
      <c r="A5" s="2"/>
      <c r="B5" s="6" t="s">
        <v>3</v>
      </c>
      <c r="C5" s="2"/>
      <c r="D5" s="2"/>
    </row>
    <row r="6" customFormat="false" ht="15" hidden="false" customHeight="true" outlineLevel="0" collapsed="false">
      <c r="A6" s="2"/>
      <c r="B6" s="7" t="s">
        <v>4</v>
      </c>
      <c r="C6" s="2"/>
      <c r="D6" s="2"/>
    </row>
    <row r="7" customFormat="false" ht="7.5" hidden="false" customHeight="true" outlineLevel="0" collapsed="false">
      <c r="A7" s="2"/>
      <c r="B7" s="2"/>
      <c r="C7" s="2"/>
      <c r="D7" s="2"/>
    </row>
    <row r="8" customFormat="false" ht="7.5" hidden="false" customHeight="true" outlineLevel="0" collapsed="false">
      <c r="A8" s="8"/>
      <c r="B8" s="8"/>
      <c r="C8" s="8"/>
      <c r="D8" s="8"/>
    </row>
    <row r="9" customFormat="false" ht="15" hidden="false" customHeight="true" outlineLevel="0" collapsed="false">
      <c r="A9" s="8"/>
      <c r="B9" s="9" t="s">
        <v>5</v>
      </c>
      <c r="C9" s="8"/>
      <c r="D9" s="8"/>
    </row>
    <row r="10" customFormat="false" ht="7.5" hidden="false" customHeight="true" outlineLevel="0" collapsed="false">
      <c r="A10" s="8"/>
      <c r="B10" s="8"/>
      <c r="C10" s="8"/>
      <c r="D10" s="8"/>
    </row>
    <row r="11" customFormat="false" ht="15" hidden="false" customHeight="true" outlineLevel="0" collapsed="false">
      <c r="A11" s="8"/>
      <c r="B11" s="10" t="s">
        <v>6</v>
      </c>
      <c r="C11" s="8"/>
      <c r="D11" s="8"/>
    </row>
    <row r="12" customFormat="false" ht="15" hidden="false" customHeight="true" outlineLevel="0" collapsed="false">
      <c r="A12" s="8"/>
      <c r="B12" s="10" t="s">
        <v>7</v>
      </c>
      <c r="C12" s="8"/>
      <c r="D12" s="8"/>
    </row>
    <row r="13" customFormat="false" ht="15" hidden="false" customHeight="true" outlineLevel="0" collapsed="false">
      <c r="A13" s="8"/>
      <c r="B13" s="10" t="s">
        <v>8</v>
      </c>
      <c r="C13" s="8"/>
      <c r="D13" s="8"/>
    </row>
    <row r="14" customFormat="false" ht="15" hidden="false" customHeight="true" outlineLevel="0" collapsed="false">
      <c r="A14" s="8"/>
      <c r="B14" s="10" t="s">
        <v>9</v>
      </c>
      <c r="C14" s="8"/>
      <c r="D14" s="8"/>
    </row>
    <row r="15" customFormat="false" ht="15" hidden="false" customHeight="true" outlineLevel="0" collapsed="false">
      <c r="A15" s="8"/>
      <c r="B15" s="10" t="s">
        <v>10</v>
      </c>
      <c r="C15" s="8"/>
      <c r="D15" s="8"/>
    </row>
    <row r="16" customFormat="false" ht="15" hidden="false" customHeight="true" outlineLevel="0" collapsed="false">
      <c r="A16" s="8"/>
      <c r="B16" s="10" t="s">
        <v>11</v>
      </c>
      <c r="C16" s="8"/>
      <c r="D16" s="8"/>
    </row>
    <row r="17" customFormat="false" ht="7.5" hidden="false" customHeight="true" outlineLevel="0" collapsed="false">
      <c r="A17" s="8"/>
      <c r="B17" s="8"/>
      <c r="C17" s="8"/>
      <c r="D17" s="8"/>
    </row>
    <row r="18" customFormat="false" ht="7.5" hidden="false" customHeight="true" outlineLevel="0" collapsed="false">
      <c r="A18" s="8"/>
      <c r="B18" s="8"/>
      <c r="C18" s="8"/>
      <c r="D18" s="8"/>
    </row>
    <row r="19" customFormat="false" ht="15" hidden="false" customHeight="true" outlineLevel="0" collapsed="false">
      <c r="A19" s="8"/>
      <c r="B19" s="11" t="s">
        <v>12</v>
      </c>
      <c r="C19" s="8"/>
      <c r="D19" s="8"/>
    </row>
    <row r="20" customFormat="false" ht="15" hidden="false" customHeight="true" outlineLevel="0" collapsed="false">
      <c r="A20" s="8"/>
      <c r="B20" s="12" t="s">
        <v>13</v>
      </c>
      <c r="C20" s="8"/>
      <c r="D20" s="8"/>
    </row>
    <row r="21" customFormat="false" ht="15" hidden="false" customHeight="true" outlineLevel="0" collapsed="false">
      <c r="A21" s="8"/>
      <c r="B21" s="13" t="s">
        <v>14</v>
      </c>
      <c r="C21" s="8"/>
      <c r="D21" s="8"/>
    </row>
    <row r="22" customFormat="false" ht="15" hidden="false" customHeight="true" outlineLevel="0" collapsed="false">
      <c r="A22" s="8"/>
      <c r="B22" s="14" t="s">
        <v>15</v>
      </c>
      <c r="C22" s="8"/>
      <c r="D22" s="8"/>
    </row>
    <row r="23" customFormat="false" ht="15" hidden="false" customHeight="true" outlineLevel="0" collapsed="false">
      <c r="A23" s="8"/>
      <c r="B23" s="15" t="s">
        <v>16</v>
      </c>
      <c r="C23" s="8"/>
      <c r="D23" s="8"/>
    </row>
    <row r="24" customFormat="false" ht="7.5" hidden="false" customHeight="true" outlineLevel="0" collapsed="false">
      <c r="A24" s="8"/>
      <c r="B24" s="8"/>
      <c r="C24" s="8"/>
      <c r="D24" s="8"/>
    </row>
    <row r="25" customFormat="false" ht="15" hidden="false" customHeight="true" outlineLevel="0" collapsed="false">
      <c r="A25" s="8"/>
      <c r="B25" s="16" t="s">
        <v>17</v>
      </c>
      <c r="C25" s="8"/>
      <c r="D25" s="8"/>
    </row>
    <row r="26" customFormat="false" ht="15" hidden="false" customHeight="true" outlineLevel="0" collapsed="false">
      <c r="A26" s="8"/>
      <c r="B26" s="8"/>
      <c r="C26" s="8"/>
      <c r="D2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1"/>
  </cols>
  <sheetData>
    <row r="1" customFormat="false" ht="15" hidden="false" customHeight="true" outlineLevel="0" collapsed="false">
      <c r="A1" s="17" t="s">
        <v>18</v>
      </c>
      <c r="B1" s="18"/>
      <c r="C1" s="18" t="s">
        <v>19</v>
      </c>
      <c r="D1" s="18" t="s">
        <v>20</v>
      </c>
      <c r="E1" s="18" t="s">
        <v>21</v>
      </c>
      <c r="F1" s="18" t="s">
        <v>22</v>
      </c>
      <c r="G1" s="18" t="s">
        <v>23</v>
      </c>
    </row>
    <row r="2" customFormat="false" ht="6" hidden="false" customHeight="true" outlineLevel="0" collapsed="false">
      <c r="A2" s="19"/>
      <c r="B2" s="19"/>
      <c r="C2" s="19"/>
      <c r="D2" s="19"/>
      <c r="E2" s="19"/>
      <c r="F2" s="19"/>
      <c r="G2" s="19"/>
    </row>
    <row r="3" customFormat="false" ht="15" hidden="false" customHeight="true" outlineLevel="0" collapsed="false">
      <c r="A3" s="20" t="s">
        <v>24</v>
      </c>
      <c r="B3" s="20"/>
      <c r="C3" s="20"/>
      <c r="D3" s="20"/>
      <c r="E3" s="20"/>
      <c r="F3" s="20"/>
      <c r="G3" s="20"/>
    </row>
    <row r="4" customFormat="false" ht="15" hidden="false" customHeight="true" outlineLevel="0" collapsed="false">
      <c r="A4" s="21" t="s">
        <v>25</v>
      </c>
      <c r="B4" s="19"/>
      <c r="C4" s="22" t="n">
        <v>2</v>
      </c>
      <c r="D4" s="19"/>
      <c r="E4" s="19"/>
      <c r="F4" s="19"/>
      <c r="G4" s="19"/>
    </row>
    <row r="5" customFormat="false" ht="15" hidden="false" customHeight="true" outlineLevel="0" collapsed="false">
      <c r="A5" s="21" t="s">
        <v>26</v>
      </c>
      <c r="B5" s="19"/>
      <c r="C5" s="23" t="str">
        <f aca="false">CHOOSE(C4,"Downside","Base","Upside")</f>
        <v>Base</v>
      </c>
      <c r="D5" s="19"/>
      <c r="E5" s="19"/>
      <c r="F5" s="19"/>
      <c r="G5" s="19"/>
    </row>
    <row r="6" customFormat="false" ht="15" hidden="false" customHeight="true" outlineLevel="0" collapsed="false">
      <c r="A6" s="24" t="s">
        <v>27</v>
      </c>
      <c r="B6" s="25"/>
      <c r="C6" s="26" t="s">
        <v>19</v>
      </c>
      <c r="D6" s="26" t="s">
        <v>20</v>
      </c>
      <c r="E6" s="26" t="s">
        <v>21</v>
      </c>
      <c r="F6" s="26" t="s">
        <v>22</v>
      </c>
      <c r="G6" s="26" t="s">
        <v>23</v>
      </c>
    </row>
    <row r="7" customFormat="false" ht="15" hidden="false" customHeight="true" outlineLevel="0" collapsed="false">
      <c r="A7" s="10" t="s">
        <v>28</v>
      </c>
      <c r="B7" s="19"/>
      <c r="C7" s="27" t="n">
        <v>0.15</v>
      </c>
      <c r="D7" s="27" t="n">
        <v>0.13</v>
      </c>
      <c r="E7" s="27" t="n">
        <v>0.11</v>
      </c>
      <c r="F7" s="27" t="n">
        <v>0.09</v>
      </c>
      <c r="G7" s="27" t="n">
        <v>0.08</v>
      </c>
    </row>
    <row r="8" customFormat="false" ht="15" hidden="false" customHeight="true" outlineLevel="0" collapsed="false">
      <c r="A8" s="28" t="s">
        <v>29</v>
      </c>
      <c r="B8" s="19"/>
      <c r="C8" s="29" t="n">
        <v>0.22</v>
      </c>
      <c r="D8" s="29" t="n">
        <v>0.19</v>
      </c>
      <c r="E8" s="29" t="n">
        <v>0.16</v>
      </c>
      <c r="F8" s="29" t="n">
        <v>0.13</v>
      </c>
      <c r="G8" s="29" t="n">
        <v>0.11</v>
      </c>
    </row>
    <row r="9" customFormat="false" ht="15" hidden="false" customHeight="true" outlineLevel="0" collapsed="false">
      <c r="A9" s="10" t="s">
        <v>30</v>
      </c>
      <c r="B9" s="19"/>
      <c r="C9" s="27" t="n">
        <v>0.22</v>
      </c>
      <c r="D9" s="27" t="n">
        <v>0.22</v>
      </c>
      <c r="E9" s="27" t="n">
        <v>0.22</v>
      </c>
      <c r="F9" s="27" t="n">
        <v>0.22</v>
      </c>
      <c r="G9" s="27" t="n">
        <v>0.22</v>
      </c>
    </row>
    <row r="10" customFormat="false" ht="15" hidden="false" customHeight="true" outlineLevel="0" collapsed="false">
      <c r="A10" s="30" t="s">
        <v>31</v>
      </c>
      <c r="B10" s="31"/>
      <c r="C10" s="32" t="n">
        <f aca="false">INDEX(C7:C9,$C$4)</f>
        <v>0.22</v>
      </c>
      <c r="D10" s="32" t="n">
        <f aca="false">INDEX(D7:D9,$C$4)</f>
        <v>0.19</v>
      </c>
      <c r="E10" s="32" t="n">
        <f aca="false">INDEX(E7:E9,$C$4)</f>
        <v>0.16</v>
      </c>
      <c r="F10" s="32" t="n">
        <f aca="false">INDEX(F7:F9,$C$4)</f>
        <v>0.13</v>
      </c>
      <c r="G10" s="32" t="n">
        <f aca="false">INDEX(G7:G9,$C$4)</f>
        <v>0.11</v>
      </c>
    </row>
    <row r="11" customFormat="false" ht="15" hidden="false" customHeight="true" outlineLevel="0" collapsed="false">
      <c r="A11" s="21" t="s">
        <v>32</v>
      </c>
      <c r="B11" s="19"/>
      <c r="C11" s="33" t="n">
        <v>13</v>
      </c>
      <c r="D11" s="33" t="n">
        <v>15</v>
      </c>
      <c r="E11" s="33" t="n">
        <v>16</v>
      </c>
      <c r="F11" s="19"/>
      <c r="G11" s="19"/>
    </row>
    <row r="12" customFormat="false" ht="15" hidden="false" customHeight="true" outlineLevel="0" collapsed="false">
      <c r="A12" s="30" t="s">
        <v>33</v>
      </c>
      <c r="B12" s="19"/>
      <c r="C12" s="34" t="n">
        <f aca="false">CHOOSE($C$4,C11,D11,E11)</f>
        <v>15</v>
      </c>
      <c r="D12" s="19"/>
      <c r="E12" s="19"/>
      <c r="F12" s="19"/>
      <c r="G12" s="19"/>
    </row>
    <row r="13" customFormat="false" ht="6" hidden="false" customHeight="true" outlineLevel="0" collapsed="false">
      <c r="A13" s="19"/>
      <c r="B13" s="19"/>
      <c r="C13" s="19"/>
      <c r="D13" s="19"/>
      <c r="E13" s="19"/>
      <c r="F13" s="19"/>
      <c r="G13" s="19"/>
    </row>
    <row r="14" customFormat="false" ht="15" hidden="false" customHeight="true" outlineLevel="0" collapsed="false">
      <c r="A14" s="20" t="s">
        <v>34</v>
      </c>
      <c r="B14" s="20"/>
      <c r="C14" s="20"/>
      <c r="D14" s="20"/>
      <c r="E14" s="20"/>
      <c r="F14" s="20"/>
      <c r="G14" s="20"/>
    </row>
    <row r="15" customFormat="false" ht="15" hidden="false" customHeight="true" outlineLevel="0" collapsed="false">
      <c r="A15" s="21" t="s">
        <v>35</v>
      </c>
      <c r="B15" s="19"/>
      <c r="C15" s="35" t="n">
        <v>2026</v>
      </c>
      <c r="D15" s="19"/>
      <c r="E15" s="19"/>
      <c r="F15" s="19"/>
      <c r="G15" s="19"/>
    </row>
    <row r="16" customFormat="false" ht="15" hidden="false" customHeight="true" outlineLevel="0" collapsed="false">
      <c r="A16" s="21" t="s">
        <v>36</v>
      </c>
      <c r="B16" s="19"/>
      <c r="C16" s="36" t="n">
        <v>5</v>
      </c>
      <c r="D16" s="19"/>
      <c r="E16" s="19"/>
      <c r="F16" s="19"/>
      <c r="G16" s="19"/>
    </row>
    <row r="17" customFormat="false" ht="15" hidden="false" customHeight="true" outlineLevel="0" collapsed="false">
      <c r="A17" s="21" t="s">
        <v>37</v>
      </c>
      <c r="B17" s="19"/>
      <c r="C17" s="37" t="n">
        <v>18.5</v>
      </c>
      <c r="D17" s="19"/>
      <c r="E17" s="19"/>
      <c r="F17" s="19"/>
      <c r="G17" s="19"/>
    </row>
    <row r="18" customFormat="false" ht="15" hidden="false" customHeight="true" outlineLevel="0" collapsed="false">
      <c r="A18" s="21" t="s">
        <v>38</v>
      </c>
      <c r="B18" s="19"/>
      <c r="C18" s="38" t="n">
        <f aca="false">C12</f>
        <v>15</v>
      </c>
      <c r="D18" s="19"/>
      <c r="E18" s="19"/>
      <c r="F18" s="19"/>
      <c r="G18" s="19"/>
    </row>
    <row r="19" customFormat="false" ht="15" hidden="false" customHeight="true" outlineLevel="0" collapsed="false">
      <c r="A19" s="21" t="s">
        <v>39</v>
      </c>
      <c r="B19" s="19"/>
      <c r="C19" s="39" t="n">
        <v>26.2</v>
      </c>
      <c r="D19" s="19"/>
      <c r="E19" s="19"/>
      <c r="F19" s="19"/>
      <c r="G19" s="19"/>
    </row>
    <row r="20" customFormat="false" ht="15" hidden="false" customHeight="true" outlineLevel="0" collapsed="false">
      <c r="A20" s="21" t="s">
        <v>40</v>
      </c>
      <c r="B20" s="19"/>
      <c r="C20" s="40" t="n">
        <f aca="false">C17*C19</f>
        <v>484.7</v>
      </c>
      <c r="D20" s="19"/>
      <c r="E20" s="19"/>
      <c r="F20" s="19"/>
      <c r="G20" s="19"/>
    </row>
    <row r="21" customFormat="false" ht="15" hidden="false" customHeight="true" outlineLevel="0" collapsed="false">
      <c r="A21" s="21" t="s">
        <v>41</v>
      </c>
      <c r="B21" s="19"/>
      <c r="C21" s="41" t="n">
        <f aca="false">C20*0.55</f>
        <v>266.585</v>
      </c>
      <c r="D21" s="19"/>
      <c r="E21" s="19"/>
      <c r="F21" s="19"/>
      <c r="G21" s="19"/>
    </row>
    <row r="22" customFormat="false" ht="6" hidden="false" customHeight="true" outlineLevel="0" collapsed="false">
      <c r="A22" s="19"/>
      <c r="B22" s="19"/>
      <c r="C22" s="19"/>
      <c r="D22" s="19"/>
      <c r="E22" s="19"/>
      <c r="F22" s="19"/>
      <c r="G22" s="19"/>
    </row>
    <row r="23" customFormat="false" ht="15" hidden="false" customHeight="true" outlineLevel="0" collapsed="false">
      <c r="A23" s="20" t="s">
        <v>42</v>
      </c>
      <c r="B23" s="20"/>
      <c r="C23" s="20"/>
      <c r="D23" s="20"/>
      <c r="E23" s="20"/>
      <c r="F23" s="20"/>
      <c r="G23" s="20"/>
    </row>
    <row r="24" customFormat="false" ht="15" hidden="false" customHeight="true" outlineLevel="0" collapsed="false">
      <c r="A24" s="10" t="s">
        <v>43</v>
      </c>
      <c r="B24" s="19"/>
      <c r="C24" s="42" t="n">
        <v>48</v>
      </c>
      <c r="D24" s="19"/>
      <c r="E24" s="19"/>
      <c r="F24" s="19"/>
      <c r="G24" s="19"/>
    </row>
    <row r="25" customFormat="false" ht="15" hidden="false" customHeight="true" outlineLevel="0" collapsed="false">
      <c r="A25" s="28" t="s">
        <v>44</v>
      </c>
      <c r="B25" s="19"/>
      <c r="C25" s="29" t="n">
        <v>0.545</v>
      </c>
      <c r="D25" s="19"/>
      <c r="E25" s="19"/>
      <c r="F25" s="19"/>
      <c r="G25" s="19"/>
    </row>
    <row r="26" customFormat="false" ht="15" hidden="false" customHeight="true" outlineLevel="0" collapsed="false">
      <c r="A26" s="10" t="s">
        <v>45</v>
      </c>
      <c r="B26" s="19"/>
      <c r="C26" s="27" t="n">
        <v>0.006</v>
      </c>
      <c r="D26" s="19"/>
      <c r="E26" s="19"/>
      <c r="F26" s="19"/>
      <c r="G26" s="19"/>
    </row>
    <row r="27" customFormat="false" ht="15" hidden="false" customHeight="true" outlineLevel="0" collapsed="false">
      <c r="A27" s="28" t="s">
        <v>46</v>
      </c>
      <c r="B27" s="19"/>
      <c r="C27" s="29" t="n">
        <v>0.03</v>
      </c>
      <c r="D27" s="19"/>
      <c r="E27" s="19"/>
      <c r="F27" s="19"/>
      <c r="G27" s="19"/>
    </row>
    <row r="28" customFormat="false" ht="15" hidden="false" customHeight="true" outlineLevel="0" collapsed="false">
      <c r="A28" s="10" t="s">
        <v>47</v>
      </c>
      <c r="B28" s="19"/>
      <c r="C28" s="27" t="n">
        <v>0.025</v>
      </c>
      <c r="D28" s="19"/>
      <c r="E28" s="19"/>
      <c r="F28" s="19"/>
      <c r="G28" s="19"/>
    </row>
    <row r="29" customFormat="false" ht="15" hidden="false" customHeight="true" outlineLevel="0" collapsed="false">
      <c r="A29" s="28" t="s">
        <v>48</v>
      </c>
      <c r="B29" s="19"/>
      <c r="C29" s="29" t="n">
        <v>-0.05</v>
      </c>
      <c r="D29" s="19"/>
      <c r="E29" s="19"/>
      <c r="F29" s="19"/>
      <c r="G29" s="19"/>
    </row>
    <row r="30" customFormat="false" ht="15" hidden="false" customHeight="true" outlineLevel="0" collapsed="false">
      <c r="A30" s="10" t="s">
        <v>49</v>
      </c>
      <c r="B30" s="19"/>
      <c r="C30" s="27" t="n">
        <v>0.25</v>
      </c>
      <c r="D30" s="19"/>
      <c r="E30" s="19"/>
      <c r="F30" s="19"/>
      <c r="G30" s="19"/>
    </row>
    <row r="31" customFormat="false" ht="15" hidden="false" customHeight="true" outlineLevel="0" collapsed="false">
      <c r="A31" s="21" t="s">
        <v>50</v>
      </c>
      <c r="B31" s="19"/>
      <c r="C31" s="43" t="n">
        <v>0.053</v>
      </c>
      <c r="D31" s="19"/>
      <c r="E31" s="19"/>
      <c r="F31" s="19"/>
      <c r="G31" s="19"/>
    </row>
    <row r="32" customFormat="false" ht="15" hidden="false" customHeight="true" outlineLevel="0" collapsed="false">
      <c r="A32" s="21" t="s">
        <v>51</v>
      </c>
      <c r="B32" s="19"/>
      <c r="C32" s="27" t="n">
        <v>0.035</v>
      </c>
      <c r="D32" s="19"/>
      <c r="E32" s="19"/>
      <c r="F32" s="19"/>
      <c r="G32" s="19"/>
    </row>
    <row r="33" customFormat="false" ht="15" hidden="false" customHeight="true" outlineLevel="0" collapsed="false">
      <c r="A33" s="21" t="s">
        <v>52</v>
      </c>
      <c r="B33" s="19"/>
      <c r="C33" s="44" t="n">
        <f aca="false">C31+C32</f>
        <v>0.088</v>
      </c>
      <c r="D33" s="19"/>
      <c r="E33" s="19"/>
      <c r="F33" s="19"/>
      <c r="G33" s="19"/>
    </row>
    <row r="34" customFormat="false" ht="15" hidden="false" customHeight="true" outlineLevel="0" collapsed="false">
      <c r="A34" s="21" t="s">
        <v>53</v>
      </c>
      <c r="B34" s="19"/>
      <c r="C34" s="27" t="n">
        <v>0.085</v>
      </c>
      <c r="D34" s="19"/>
      <c r="E34" s="19"/>
      <c r="F34" s="19"/>
      <c r="G34" s="19"/>
    </row>
    <row r="35" customFormat="false" ht="15" hidden="false" customHeight="true" outlineLevel="0" collapsed="false">
      <c r="A35" s="21" t="s">
        <v>54</v>
      </c>
      <c r="B35" s="19"/>
      <c r="C35" s="43" t="n">
        <v>0.085</v>
      </c>
      <c r="D35" s="19"/>
      <c r="E35" s="19"/>
      <c r="F35" s="19"/>
      <c r="G35" s="19"/>
    </row>
    <row r="36" customFormat="false" ht="6" hidden="false" customHeight="true" outlineLevel="0" collapsed="false">
      <c r="A36" s="19"/>
      <c r="B36" s="19"/>
      <c r="C36" s="19"/>
      <c r="D36" s="19"/>
      <c r="E36" s="19"/>
      <c r="F36" s="19"/>
      <c r="G36" s="19"/>
    </row>
    <row r="37" customFormat="false" ht="15" hidden="false" customHeight="true" outlineLevel="0" collapsed="false">
      <c r="A37" s="20" t="s">
        <v>55</v>
      </c>
      <c r="B37" s="20"/>
      <c r="C37" s="20"/>
      <c r="D37" s="20"/>
      <c r="E37" s="20"/>
      <c r="F37" s="20"/>
      <c r="G37" s="20"/>
    </row>
    <row r="38" customFormat="false" ht="15" hidden="false" customHeight="true" outlineLevel="0" collapsed="false">
      <c r="A38" s="45" t="s">
        <v>56</v>
      </c>
      <c r="B38" s="46"/>
      <c r="C38" s="46"/>
      <c r="D38" s="19"/>
      <c r="E38" s="19"/>
      <c r="F38" s="19"/>
      <c r="G38" s="19"/>
    </row>
    <row r="39" customFormat="false" ht="15" hidden="false" customHeight="true" outlineLevel="0" collapsed="false">
      <c r="A39" s="21" t="s">
        <v>57</v>
      </c>
      <c r="B39" s="19"/>
      <c r="C39" s="47" t="n">
        <f aca="false">C20</f>
        <v>484.7</v>
      </c>
      <c r="D39" s="19"/>
      <c r="E39" s="19"/>
      <c r="F39" s="19"/>
      <c r="G39" s="19"/>
    </row>
    <row r="40" customFormat="false" ht="15" hidden="false" customHeight="true" outlineLevel="0" collapsed="false">
      <c r="A40" s="21" t="s">
        <v>58</v>
      </c>
      <c r="B40" s="19"/>
      <c r="C40" s="41" t="n">
        <f aca="false">C20*0.02</f>
        <v>9.694</v>
      </c>
      <c r="D40" s="19"/>
      <c r="E40" s="19"/>
      <c r="F40" s="19"/>
      <c r="G40" s="19"/>
    </row>
    <row r="41" customFormat="false" ht="15" hidden="false" customHeight="true" outlineLevel="0" collapsed="false">
      <c r="A41" s="21" t="s">
        <v>59</v>
      </c>
      <c r="B41" s="19"/>
      <c r="C41" s="40" t="n">
        <f aca="false">C20*0.015</f>
        <v>7.2705</v>
      </c>
      <c r="D41" s="19"/>
      <c r="E41" s="19"/>
      <c r="F41" s="19"/>
      <c r="G41" s="19"/>
    </row>
    <row r="42" customFormat="false" ht="15" hidden="false" customHeight="true" outlineLevel="0" collapsed="false">
      <c r="A42" s="30" t="s">
        <v>60</v>
      </c>
      <c r="B42" s="19"/>
      <c r="C42" s="48" t="n">
        <f aca="false">SUM(C39:C41)</f>
        <v>501.6645</v>
      </c>
      <c r="D42" s="19"/>
      <c r="E42" s="19"/>
      <c r="F42" s="19"/>
      <c r="G42" s="19"/>
    </row>
    <row r="43" customFormat="false" ht="15" hidden="false" customHeight="true" outlineLevel="0" collapsed="false">
      <c r="A43" s="45" t="s">
        <v>61</v>
      </c>
      <c r="B43" s="46"/>
      <c r="C43" s="49"/>
      <c r="D43" s="19"/>
      <c r="E43" s="19"/>
      <c r="F43" s="19"/>
      <c r="G43" s="19"/>
    </row>
    <row r="44" customFormat="false" ht="15" hidden="false" customHeight="true" outlineLevel="0" collapsed="false">
      <c r="A44" s="21" t="s">
        <v>62</v>
      </c>
      <c r="B44" s="19"/>
      <c r="C44" s="40" t="n">
        <f aca="false">C20*0.35</f>
        <v>169.645</v>
      </c>
      <c r="D44" s="19"/>
      <c r="E44" s="19"/>
      <c r="F44" s="19"/>
      <c r="G44" s="19"/>
    </row>
    <row r="45" customFormat="false" ht="15" hidden="false" customHeight="true" outlineLevel="0" collapsed="false">
      <c r="A45" s="21" t="s">
        <v>63</v>
      </c>
      <c r="B45" s="19"/>
      <c r="C45" s="41" t="n">
        <f aca="false">C20*0.15</f>
        <v>72.705</v>
      </c>
      <c r="D45" s="19"/>
      <c r="E45" s="19"/>
      <c r="F45" s="19"/>
      <c r="G45" s="19"/>
    </row>
    <row r="46" customFormat="false" ht="15" hidden="false" customHeight="true" outlineLevel="0" collapsed="false">
      <c r="A46" s="21" t="s">
        <v>64</v>
      </c>
      <c r="B46" s="19"/>
      <c r="C46" s="40" t="n">
        <f aca="false">C20*0.05</f>
        <v>24.235</v>
      </c>
      <c r="D46" s="19"/>
      <c r="E46" s="19"/>
      <c r="F46" s="19"/>
      <c r="G46" s="19"/>
    </row>
    <row r="47" customFormat="false" ht="15" hidden="false" customHeight="true" outlineLevel="0" collapsed="false">
      <c r="A47" s="21" t="s">
        <v>65</v>
      </c>
      <c r="B47" s="19"/>
      <c r="C47" s="41" t="n">
        <f aca="false">C20*0.03</f>
        <v>14.541</v>
      </c>
      <c r="D47" s="19"/>
      <c r="E47" s="19"/>
      <c r="F47" s="19"/>
      <c r="G47" s="19"/>
    </row>
    <row r="48" customFormat="false" ht="15" hidden="false" customHeight="true" outlineLevel="0" collapsed="false">
      <c r="A48" s="21" t="s">
        <v>66</v>
      </c>
      <c r="B48" s="19"/>
      <c r="C48" s="50" t="n">
        <f aca="false">C42-C44-C45-C46-C47</f>
        <v>220.5385</v>
      </c>
      <c r="D48" s="19"/>
      <c r="E48" s="19"/>
      <c r="F48" s="19"/>
      <c r="G48" s="19"/>
    </row>
    <row r="49" customFormat="false" ht="15" hidden="false" customHeight="true" outlineLevel="0" collapsed="false">
      <c r="A49" s="30" t="s">
        <v>67</v>
      </c>
      <c r="B49" s="19"/>
      <c r="C49" s="48" t="n">
        <f aca="false">SUM(C44:C48)</f>
        <v>501.6645</v>
      </c>
      <c r="D49" s="19"/>
      <c r="E49" s="19"/>
      <c r="F49" s="19"/>
      <c r="G49" s="19"/>
    </row>
    <row r="50" customFormat="false" ht="6" hidden="false" customHeight="true" outlineLevel="0" collapsed="false">
      <c r="A50" s="19"/>
      <c r="B50" s="19"/>
      <c r="C50" s="19"/>
      <c r="D50" s="19"/>
      <c r="E50" s="19"/>
      <c r="F50" s="19"/>
      <c r="G50" s="19"/>
    </row>
    <row r="51" customFormat="false" ht="15" hidden="false" customHeight="true" outlineLevel="0" collapsed="false">
      <c r="A51" s="20" t="s">
        <v>68</v>
      </c>
      <c r="B51" s="20"/>
      <c r="C51" s="20"/>
      <c r="D51" s="20"/>
      <c r="E51" s="20"/>
      <c r="F51" s="20"/>
      <c r="G51" s="20"/>
    </row>
    <row r="52" customFormat="false" ht="15" hidden="false" customHeight="true" outlineLevel="0" collapsed="false">
      <c r="A52" s="45" t="s">
        <v>69</v>
      </c>
      <c r="B52" s="51" t="s">
        <v>70</v>
      </c>
      <c r="C52" s="51" t="s">
        <v>71</v>
      </c>
      <c r="D52" s="51" t="s">
        <v>72</v>
      </c>
      <c r="E52" s="45" t="s">
        <v>73</v>
      </c>
      <c r="F52" s="46"/>
      <c r="G52" s="46"/>
    </row>
    <row r="53" customFormat="false" ht="15" hidden="false" customHeight="true" outlineLevel="0" collapsed="false">
      <c r="A53" s="10" t="s">
        <v>74</v>
      </c>
      <c r="B53" s="40" t="n">
        <f aca="false">C44</f>
        <v>169.645</v>
      </c>
      <c r="C53" s="52" t="n">
        <f aca="false">C44/$C$19</f>
        <v>6.475</v>
      </c>
      <c r="D53" s="53" t="n">
        <f aca="false">C33</f>
        <v>0.088</v>
      </c>
      <c r="E53" s="15" t="s">
        <v>75</v>
      </c>
      <c r="F53" s="19"/>
      <c r="G53" s="19"/>
    </row>
    <row r="54" customFormat="false" ht="15" hidden="false" customHeight="true" outlineLevel="0" collapsed="false">
      <c r="A54" s="28" t="s">
        <v>76</v>
      </c>
      <c r="B54" s="54" t="n">
        <f aca="false">C45</f>
        <v>72.705</v>
      </c>
      <c r="C54" s="55" t="n">
        <f aca="false">C45/$C$19</f>
        <v>2.775</v>
      </c>
      <c r="D54" s="56" t="n">
        <f aca="false">C34</f>
        <v>0.085</v>
      </c>
      <c r="E54" s="57" t="s">
        <v>77</v>
      </c>
      <c r="F54" s="19"/>
      <c r="G54" s="19"/>
    </row>
    <row r="55" customFormat="false" ht="15" hidden="false" customHeight="true" outlineLevel="0" collapsed="false">
      <c r="A55" s="10" t="s">
        <v>78</v>
      </c>
      <c r="B55" s="40" t="n">
        <f aca="false">C46</f>
        <v>24.235</v>
      </c>
      <c r="C55" s="52" t="n">
        <f aca="false">C46/$C$19</f>
        <v>0.925</v>
      </c>
      <c r="D55" s="53" t="n">
        <f aca="false">C35</f>
        <v>0.085</v>
      </c>
      <c r="E55" s="15" t="s">
        <v>79</v>
      </c>
      <c r="F55" s="19"/>
      <c r="G55" s="19"/>
    </row>
    <row r="56" customFormat="false" ht="15" hidden="false" customHeight="true" outlineLevel="0" collapsed="false">
      <c r="A56" s="30" t="s">
        <v>80</v>
      </c>
      <c r="B56" s="48" t="n">
        <f aca="false">SUM(B53:B55)</f>
        <v>266.585</v>
      </c>
      <c r="C56" s="58" t="n">
        <f aca="false">B56/$C$19</f>
        <v>10.175</v>
      </c>
      <c r="D56" s="59" t="s">
        <v>81</v>
      </c>
      <c r="E56" s="31"/>
      <c r="F56" s="31"/>
      <c r="G56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1"/>
  </cols>
  <sheetData>
    <row r="1" customFormat="false" ht="15" hidden="false" customHeight="true" outlineLevel="0" collapsed="false">
      <c r="A1" s="17" t="s">
        <v>82</v>
      </c>
      <c r="B1" s="18" t="s">
        <v>83</v>
      </c>
      <c r="C1" s="18" t="s">
        <v>84</v>
      </c>
      <c r="D1" s="18" t="s">
        <v>85</v>
      </c>
      <c r="E1" s="18" t="s">
        <v>86</v>
      </c>
      <c r="F1" s="18" t="s">
        <v>87</v>
      </c>
      <c r="G1" s="18" t="s">
        <v>88</v>
      </c>
    </row>
    <row r="2" customFormat="false" ht="15" hidden="false" customHeight="true" outlineLevel="0" collapsed="false">
      <c r="A2" s="20" t="s">
        <v>89</v>
      </c>
      <c r="B2" s="20"/>
      <c r="C2" s="20"/>
      <c r="D2" s="20"/>
      <c r="E2" s="20"/>
      <c r="F2" s="20"/>
      <c r="G2" s="20"/>
    </row>
    <row r="3" customFormat="false" ht="15" hidden="false" customHeight="true" outlineLevel="0" collapsed="false">
      <c r="A3" s="28" t="s">
        <v>90</v>
      </c>
      <c r="B3" s="60" t="n">
        <v>40.8</v>
      </c>
      <c r="C3" s="54" t="n">
        <f aca="false">B3*(1+Assumptions!C$10)</f>
        <v>49.776</v>
      </c>
      <c r="D3" s="54" t="n">
        <f aca="false">C3*(1+Assumptions!D$10)</f>
        <v>59.23344</v>
      </c>
      <c r="E3" s="54" t="n">
        <f aca="false">D3*(1+Assumptions!E$10)</f>
        <v>68.7107904</v>
      </c>
      <c r="F3" s="54" t="n">
        <f aca="false">E3*(1+Assumptions!F$10)</f>
        <v>77.643193152</v>
      </c>
      <c r="G3" s="54" t="n">
        <f aca="false">F3*(1+Assumptions!G$10)</f>
        <v>86.18394439872</v>
      </c>
    </row>
    <row r="4" customFormat="false" ht="15" hidden="false" customHeight="true" outlineLevel="0" collapsed="false">
      <c r="A4" s="10" t="s">
        <v>91</v>
      </c>
      <c r="B4" s="42" t="n">
        <v>4.8</v>
      </c>
      <c r="C4" s="40" t="n">
        <f aca="false">B4*(1+Assumptions!C$10)</f>
        <v>5.856</v>
      </c>
      <c r="D4" s="40" t="n">
        <f aca="false">C4*(1+Assumptions!D$10)</f>
        <v>6.96864</v>
      </c>
      <c r="E4" s="40" t="n">
        <f aca="false">D4*(1+Assumptions!E$10)</f>
        <v>8.0836224</v>
      </c>
      <c r="F4" s="40" t="n">
        <f aca="false">E4*(1+Assumptions!F$10)</f>
        <v>9.134493312</v>
      </c>
      <c r="G4" s="40" t="n">
        <f aca="false">F4*(1+Assumptions!G$10)</f>
        <v>10.13928757632</v>
      </c>
    </row>
    <row r="5" customFormat="false" ht="15" hidden="false" customHeight="true" outlineLevel="0" collapsed="false">
      <c r="A5" s="28" t="s">
        <v>92</v>
      </c>
      <c r="B5" s="60" t="n">
        <v>2.4</v>
      </c>
      <c r="C5" s="54" t="n">
        <f aca="false">B5*(1+Assumptions!C$10)</f>
        <v>2.928</v>
      </c>
      <c r="D5" s="54" t="n">
        <f aca="false">C5*(1+Assumptions!D$10)</f>
        <v>3.48432</v>
      </c>
      <c r="E5" s="54" t="n">
        <f aca="false">D5*(1+Assumptions!E$10)</f>
        <v>4.0418112</v>
      </c>
      <c r="F5" s="54" t="n">
        <f aca="false">E5*(1+Assumptions!F$10)</f>
        <v>4.567246656</v>
      </c>
      <c r="G5" s="54" t="n">
        <f aca="false">F5*(1+Assumptions!G$10)</f>
        <v>5.06964378816</v>
      </c>
    </row>
    <row r="6" customFormat="false" ht="15" hidden="false" customHeight="true" outlineLevel="0" collapsed="false">
      <c r="A6" s="30" t="s">
        <v>93</v>
      </c>
      <c r="B6" s="48" t="n">
        <f aca="false">SUM(B3:B5)</f>
        <v>48</v>
      </c>
      <c r="C6" s="48" t="n">
        <f aca="false">SUM(C3:C5)</f>
        <v>58.56</v>
      </c>
      <c r="D6" s="48" t="n">
        <f aca="false">SUM(D3:D5)</f>
        <v>69.6864</v>
      </c>
      <c r="E6" s="48" t="n">
        <f aca="false">SUM(E3:E5)</f>
        <v>80.836224</v>
      </c>
      <c r="F6" s="48" t="n">
        <f aca="false">SUM(F3:F5)</f>
        <v>91.34493312</v>
      </c>
      <c r="G6" s="48" t="n">
        <f aca="false">SUM(G3:G5)</f>
        <v>101.3928757632</v>
      </c>
    </row>
    <row r="7" customFormat="false" ht="15" hidden="false" customHeight="true" outlineLevel="0" collapsed="false">
      <c r="A7" s="20" t="s">
        <v>94</v>
      </c>
      <c r="B7" s="61"/>
      <c r="C7" s="61"/>
      <c r="D7" s="61"/>
      <c r="E7" s="61"/>
      <c r="F7" s="61"/>
      <c r="G7" s="61"/>
    </row>
    <row r="8" customFormat="false" ht="15" hidden="false" customHeight="true" outlineLevel="0" collapsed="false">
      <c r="A8" s="10" t="s">
        <v>95</v>
      </c>
      <c r="B8" s="40" t="n">
        <f aca="false">B6*0.82</f>
        <v>39.36</v>
      </c>
      <c r="C8" s="40" t="n">
        <f aca="false">C6*0.82</f>
        <v>48.0192</v>
      </c>
      <c r="D8" s="40" t="n">
        <f aca="false">D6*0.82</f>
        <v>57.142848</v>
      </c>
      <c r="E8" s="40" t="n">
        <f aca="false">E6*0.82</f>
        <v>66.28570368</v>
      </c>
      <c r="F8" s="40" t="n">
        <f aca="false">F6*0.82</f>
        <v>74.9028451584</v>
      </c>
      <c r="G8" s="40" t="n">
        <f aca="false">G6*0.82</f>
        <v>83.142158125824</v>
      </c>
    </row>
    <row r="9" customFormat="false" ht="15" hidden="false" customHeight="true" outlineLevel="0" collapsed="false">
      <c r="A9" s="28" t="s">
        <v>96</v>
      </c>
      <c r="B9" s="54" t="n">
        <f aca="false">-B6*0.12</f>
        <v>-5.76</v>
      </c>
      <c r="C9" s="54" t="n">
        <f aca="false">-C6*0.12</f>
        <v>-7.0272</v>
      </c>
      <c r="D9" s="54" t="n">
        <f aca="false">-D6*0.12</f>
        <v>-8.362368</v>
      </c>
      <c r="E9" s="54" t="n">
        <f aca="false">-E6*0.12</f>
        <v>-9.70034688</v>
      </c>
      <c r="F9" s="54" t="n">
        <f aca="false">-F6*0.12</f>
        <v>-10.9613919744</v>
      </c>
      <c r="G9" s="54" t="n">
        <f aca="false">-G6*0.12</f>
        <v>-12.167145091584</v>
      </c>
    </row>
    <row r="10" customFormat="false" ht="15" hidden="false" customHeight="true" outlineLevel="0" collapsed="false">
      <c r="A10" s="10" t="s">
        <v>97</v>
      </c>
      <c r="B10" s="40" t="n">
        <f aca="false">-B6*0.1</f>
        <v>-4.8</v>
      </c>
      <c r="C10" s="40" t="n">
        <f aca="false">-C6*0.1</f>
        <v>-5.856</v>
      </c>
      <c r="D10" s="40" t="n">
        <f aca="false">-D6*0.1</f>
        <v>-6.96864</v>
      </c>
      <c r="E10" s="40" t="n">
        <f aca="false">-E6*0.1</f>
        <v>-8.0836224</v>
      </c>
      <c r="F10" s="40" t="n">
        <f aca="false">-F6*0.1</f>
        <v>-9.134493312</v>
      </c>
      <c r="G10" s="40" t="n">
        <f aca="false">-G6*0.1</f>
        <v>-10.13928757632</v>
      </c>
    </row>
    <row r="11" customFormat="false" ht="15" hidden="false" customHeight="true" outlineLevel="0" collapsed="false">
      <c r="A11" s="57" t="s">
        <v>98</v>
      </c>
      <c r="B11" s="62" t="n">
        <f aca="false">B12-B8-B9-B10</f>
        <v>-2.64</v>
      </c>
      <c r="C11" s="62" t="n">
        <f aca="false">C12-C8-C9-C10</f>
        <v>-2.86943999999999</v>
      </c>
      <c r="D11" s="62" t="n">
        <f aca="false">D12-D8-D9-D10</f>
        <v>-2.99651519999999</v>
      </c>
      <c r="E11" s="62" t="n">
        <f aca="false">E12-E8-E9-E10</f>
        <v>-2.99094028799999</v>
      </c>
      <c r="F11" s="62" t="n">
        <f aca="false">F12-F8-F9-F10</f>
        <v>-2.83169292672</v>
      </c>
      <c r="G11" s="62" t="n">
        <f aca="false">G12-G8-G9-G10</f>
        <v>-2.53482189407999</v>
      </c>
    </row>
    <row r="12" customFormat="false" ht="15" hidden="false" customHeight="true" outlineLevel="0" collapsed="false">
      <c r="A12" s="30" t="s">
        <v>99</v>
      </c>
      <c r="B12" s="48" t="n">
        <f aca="false">B6*B13</f>
        <v>26.16</v>
      </c>
      <c r="C12" s="48" t="n">
        <f aca="false">C6*C13</f>
        <v>32.26656</v>
      </c>
      <c r="D12" s="48" t="n">
        <f aca="false">D6*D13</f>
        <v>38.8153248</v>
      </c>
      <c r="E12" s="48" t="n">
        <f aca="false">E6*E13</f>
        <v>45.510794112</v>
      </c>
      <c r="F12" s="48" t="n">
        <f aca="false">F6*F13</f>
        <v>51.97526694528</v>
      </c>
      <c r="G12" s="48" t="n">
        <f aca="false">G6*G13</f>
        <v>58.30090356384</v>
      </c>
    </row>
    <row r="13" customFormat="false" ht="15" hidden="false" customHeight="true" outlineLevel="0" collapsed="false">
      <c r="A13" s="63" t="s">
        <v>100</v>
      </c>
      <c r="B13" s="64" t="n">
        <f aca="false">Assumptions!$C$25</f>
        <v>0.545</v>
      </c>
      <c r="C13" s="64" t="n">
        <f aca="false">B13+Assumptions!$C$26</f>
        <v>0.551</v>
      </c>
      <c r="D13" s="64" t="n">
        <f aca="false">C13+Assumptions!$C$26</f>
        <v>0.557</v>
      </c>
      <c r="E13" s="64" t="n">
        <f aca="false">D13+Assumptions!$C$26</f>
        <v>0.563</v>
      </c>
      <c r="F13" s="64" t="n">
        <f aca="false">E13+Assumptions!$C$26</f>
        <v>0.569</v>
      </c>
      <c r="G13" s="64" t="n">
        <f aca="false">F13+Assumptions!$C$26</f>
        <v>0.575</v>
      </c>
    </row>
    <row r="14" customFormat="false" ht="15" hidden="false" customHeight="true" outlineLevel="0" collapsed="false">
      <c r="A14" s="20" t="s">
        <v>101</v>
      </c>
      <c r="B14" s="20"/>
      <c r="C14" s="20"/>
      <c r="D14" s="20"/>
      <c r="E14" s="20"/>
      <c r="F14" s="20"/>
      <c r="G14" s="20"/>
    </row>
    <row r="15" customFormat="false" ht="15" hidden="false" customHeight="true" outlineLevel="0" collapsed="false">
      <c r="A15" s="21" t="s">
        <v>102</v>
      </c>
      <c r="B15" s="54" t="n">
        <f aca="false">-B6*Assumptions!$C$27</f>
        <v>-1.44</v>
      </c>
      <c r="C15" s="54" t="n">
        <f aca="false">-C6*Assumptions!$C$27</f>
        <v>-1.7568</v>
      </c>
      <c r="D15" s="54" t="n">
        <f aca="false">-D6*Assumptions!$C$27</f>
        <v>-2.090592</v>
      </c>
      <c r="E15" s="54" t="n">
        <f aca="false">-E6*Assumptions!$C$27</f>
        <v>-2.42508672</v>
      </c>
      <c r="F15" s="54" t="n">
        <f aca="false">-F6*Assumptions!$C$27</f>
        <v>-2.7403479936</v>
      </c>
      <c r="G15" s="54" t="n">
        <f aca="false">-G6*Assumptions!$C$27</f>
        <v>-3.041786272896</v>
      </c>
    </row>
    <row r="16" customFormat="false" ht="15" hidden="false" customHeight="true" outlineLevel="0" collapsed="false">
      <c r="A16" s="21" t="s">
        <v>103</v>
      </c>
      <c r="B16" s="65" t="n">
        <f aca="false">B12+B15</f>
        <v>24.72</v>
      </c>
      <c r="C16" s="65" t="n">
        <f aca="false">C12+C15</f>
        <v>30.50976</v>
      </c>
      <c r="D16" s="65" t="n">
        <f aca="false">D12+D15</f>
        <v>36.7247328</v>
      </c>
      <c r="E16" s="65" t="n">
        <f aca="false">E12+E15</f>
        <v>43.085707392</v>
      </c>
      <c r="F16" s="65" t="n">
        <f aca="false">F12+F15</f>
        <v>49.23491895168</v>
      </c>
      <c r="G16" s="65" t="n">
        <f aca="false">G12+G15</f>
        <v>55.259117290944</v>
      </c>
    </row>
    <row r="17" customFormat="false" ht="15" hidden="false" customHeight="true" outlineLevel="0" collapsed="false">
      <c r="A17" s="21" t="s">
        <v>104</v>
      </c>
      <c r="B17" s="62" t="n">
        <v>0</v>
      </c>
      <c r="C17" s="66" t="n">
        <f aca="false">'Debt Schedule'!C19</f>
        <v>-21.108685</v>
      </c>
      <c r="D17" s="66" t="n">
        <f aca="false">'Debt Schedule'!D19</f>
        <v>-20.4635922</v>
      </c>
      <c r="E17" s="66" t="n">
        <f aca="false">'Debt Schedule'!E19</f>
        <v>-19.35947946115</v>
      </c>
      <c r="F17" s="66" t="n">
        <f aca="false">'Debt Schedule'!F19</f>
        <v>-17.7536885152276</v>
      </c>
      <c r="G17" s="66" t="n">
        <f aca="false">'Debt Schedule'!G19</f>
        <v>-15.624087815341</v>
      </c>
    </row>
    <row r="18" customFormat="false" ht="15" hidden="false" customHeight="true" outlineLevel="0" collapsed="false">
      <c r="A18" s="21" t="s">
        <v>105</v>
      </c>
      <c r="B18" s="67" t="n">
        <v>0</v>
      </c>
      <c r="C18" s="47" t="n">
        <f aca="false">-'Debt Schedule'!C20</f>
        <v>-2.059975</v>
      </c>
      <c r="D18" s="47" t="n">
        <f aca="false">-'Debt Schedule'!D20</f>
        <v>-2.235072875</v>
      </c>
      <c r="E18" s="47" t="n">
        <f aca="false">-'Debt Schedule'!E20</f>
        <v>-2.425054069375</v>
      </c>
      <c r="F18" s="47" t="n">
        <f aca="false">-'Debt Schedule'!F20</f>
        <v>-2.63118366527188</v>
      </c>
      <c r="G18" s="47" t="n">
        <f aca="false">-'Debt Schedule'!G20</f>
        <v>-2.85483427681999</v>
      </c>
    </row>
    <row r="19" customFormat="false" ht="15" hidden="false" customHeight="true" outlineLevel="0" collapsed="false">
      <c r="A19" s="21" t="s">
        <v>106</v>
      </c>
      <c r="B19" s="68" t="n">
        <f aca="false">B16+B17+B18</f>
        <v>24.72</v>
      </c>
      <c r="C19" s="68" t="n">
        <f aca="false">C16+C17+C18</f>
        <v>7.3411</v>
      </c>
      <c r="D19" s="68" t="n">
        <f aca="false">D16+D17+D18</f>
        <v>14.026067725</v>
      </c>
      <c r="E19" s="68" t="n">
        <f aca="false">E16+E17+E18</f>
        <v>21.301173861475</v>
      </c>
      <c r="F19" s="68" t="n">
        <f aca="false">F16+F17+F18</f>
        <v>28.8500467711805</v>
      </c>
      <c r="G19" s="68" t="n">
        <f aca="false">G16+G17+G18</f>
        <v>36.780195198783</v>
      </c>
    </row>
    <row r="20" customFormat="false" ht="15" hidden="false" customHeight="true" outlineLevel="0" collapsed="false">
      <c r="A20" s="21" t="s">
        <v>107</v>
      </c>
      <c r="B20" s="40" t="n">
        <f aca="false">IF(B19&gt;0,-B19*Assumptions!$C$30,0)</f>
        <v>-6.18</v>
      </c>
      <c r="C20" s="40" t="n">
        <f aca="false">IF(C19&gt;0,-C19*Assumptions!$C$30,0)</f>
        <v>-1.835275</v>
      </c>
      <c r="D20" s="40" t="n">
        <f aca="false">IF(D19&gt;0,-D19*Assumptions!$C$30,0)</f>
        <v>-3.50651693125</v>
      </c>
      <c r="E20" s="40" t="n">
        <f aca="false">IF(E19&gt;0,-E19*Assumptions!$C$30,0)</f>
        <v>-5.32529346536875</v>
      </c>
      <c r="F20" s="40" t="n">
        <f aca="false">IF(F19&gt;0,-F19*Assumptions!$C$30,0)</f>
        <v>-7.21251169279512</v>
      </c>
      <c r="G20" s="40" t="n">
        <f aca="false">IF(G19&gt;0,-G19*Assumptions!$C$30,0)</f>
        <v>-9.19504879969575</v>
      </c>
    </row>
    <row r="21" customFormat="false" ht="15" hidden="false" customHeight="true" outlineLevel="0" collapsed="false">
      <c r="A21" s="21" t="s">
        <v>108</v>
      </c>
      <c r="B21" s="48" t="n">
        <f aca="false">B19+B20</f>
        <v>18.54</v>
      </c>
      <c r="C21" s="48" t="n">
        <f aca="false">C19+C20</f>
        <v>5.505825</v>
      </c>
      <c r="D21" s="48" t="n">
        <f aca="false">D19+D20</f>
        <v>10.51955079375</v>
      </c>
      <c r="E21" s="48" t="n">
        <f aca="false">E19+E20</f>
        <v>15.9758803961063</v>
      </c>
      <c r="F21" s="48" t="n">
        <f aca="false">F19+F20</f>
        <v>21.6375350783854</v>
      </c>
      <c r="G21" s="48" t="n">
        <f aca="false">G19+G20</f>
        <v>27.5851463990873</v>
      </c>
    </row>
    <row r="22" customFormat="false" ht="15" hidden="false" customHeight="true" outlineLevel="0" collapsed="false">
      <c r="A22" s="63" t="s">
        <v>109</v>
      </c>
      <c r="B22" s="19"/>
      <c r="C22" s="64" t="n">
        <f aca="false">(C6-B6)/B6</f>
        <v>0.22</v>
      </c>
      <c r="D22" s="64" t="n">
        <f aca="false">(D6-C6)/C6</f>
        <v>0.19</v>
      </c>
      <c r="E22" s="64" t="n">
        <f aca="false">(E6-D6)/D6</f>
        <v>0.16</v>
      </c>
      <c r="F22" s="64" t="n">
        <f aca="false">(F6-E6)/E6</f>
        <v>0.13</v>
      </c>
      <c r="G22" s="64" t="n">
        <f aca="false">(G6-F6)/F6</f>
        <v>0.11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1"/>
  </cols>
  <sheetData>
    <row r="1" customFormat="false" ht="15" hidden="false" customHeight="true" outlineLevel="0" collapsed="false">
      <c r="A1" s="17" t="s">
        <v>110</v>
      </c>
      <c r="B1" s="18" t="s">
        <v>111</v>
      </c>
      <c r="C1" s="18" t="s">
        <v>84</v>
      </c>
      <c r="D1" s="18" t="s">
        <v>85</v>
      </c>
      <c r="E1" s="18" t="s">
        <v>86</v>
      </c>
      <c r="F1" s="18" t="s">
        <v>87</v>
      </c>
      <c r="G1" s="18" t="s">
        <v>88</v>
      </c>
    </row>
    <row r="2" customFormat="false" ht="15" hidden="false" customHeight="true" outlineLevel="0" collapsed="false">
      <c r="A2" s="20" t="s">
        <v>112</v>
      </c>
      <c r="B2" s="20"/>
      <c r="C2" s="20"/>
      <c r="D2" s="20"/>
      <c r="E2" s="20"/>
      <c r="F2" s="20"/>
      <c r="G2" s="20"/>
    </row>
    <row r="3" customFormat="false" ht="15" hidden="false" customHeight="true" outlineLevel="0" collapsed="false">
      <c r="A3" s="21" t="s">
        <v>113</v>
      </c>
      <c r="B3" s="69" t="n">
        <f aca="false">Assumptions!C44</f>
        <v>169.645</v>
      </c>
      <c r="C3" s="41" t="n">
        <f aca="false">B6</f>
        <v>169.645</v>
      </c>
      <c r="D3" s="41" t="n">
        <f aca="false">C6</f>
        <v>162.3144</v>
      </c>
      <c r="E3" s="41" t="n">
        <f aca="false">D6</f>
        <v>149.76766433125</v>
      </c>
      <c r="F3" s="41" t="n">
        <f aca="false">E6</f>
        <v>131.520039945769</v>
      </c>
      <c r="G3" s="41" t="n">
        <f aca="false">F6</f>
        <v>107.320031992511</v>
      </c>
    </row>
    <row r="4" customFormat="false" ht="15" hidden="false" customHeight="true" outlineLevel="0" collapsed="false">
      <c r="A4" s="21" t="s">
        <v>114</v>
      </c>
      <c r="B4" s="70" t="n">
        <v>0</v>
      </c>
      <c r="C4" s="41" t="n">
        <f aca="false">-MIN(0.01*Assumptions!$C$44,C3)</f>
        <v>-1.69645</v>
      </c>
      <c r="D4" s="41" t="n">
        <f aca="false">-MIN(0.01*Assumptions!$C$44,D3)</f>
        <v>-1.69645</v>
      </c>
      <c r="E4" s="41" t="n">
        <f aca="false">-MIN(0.01*Assumptions!$C$44,E3)</f>
        <v>-1.69645</v>
      </c>
      <c r="F4" s="41" t="n">
        <f aca="false">-MIN(0.01*Assumptions!$C$44,F3)</f>
        <v>-1.69645</v>
      </c>
      <c r="G4" s="41" t="n">
        <f aca="false">-MIN(0.01*Assumptions!$C$44,G3)</f>
        <v>-1.69645</v>
      </c>
    </row>
    <row r="5" customFormat="false" ht="15" hidden="false" customHeight="true" outlineLevel="0" collapsed="false">
      <c r="A5" s="21" t="s">
        <v>115</v>
      </c>
      <c r="B5" s="70" t="n">
        <v>0</v>
      </c>
      <c r="C5" s="41" t="n">
        <f aca="false">-MAX(MIN(FCF!C12+C4,C3+C4),0)</f>
        <v>-5.63415</v>
      </c>
      <c r="D5" s="41" t="n">
        <f aca="false">-MAX(MIN(FCF!D12+D4,D3+D4),0)</f>
        <v>-10.85028566875</v>
      </c>
      <c r="E5" s="41" t="n">
        <f aca="false">-MAX(MIN(FCF!E12+E4,E3+E4),0)</f>
        <v>-16.5511743854813</v>
      </c>
      <c r="F5" s="41" t="n">
        <f aca="false">-MAX(MIN(FCF!F12+F4,F3+F4),0)</f>
        <v>-22.5035579532572</v>
      </c>
      <c r="G5" s="41" t="n">
        <f aca="false">-MAX(MIN(FCF!G12+G4,G3+G4),0)</f>
        <v>-28.7480979225632</v>
      </c>
    </row>
    <row r="6" customFormat="false" ht="15" hidden="false" customHeight="true" outlineLevel="0" collapsed="false">
      <c r="A6" s="30" t="s">
        <v>116</v>
      </c>
      <c r="B6" s="48" t="n">
        <f aca="false">B3+B4+B5</f>
        <v>169.645</v>
      </c>
      <c r="C6" s="48" t="n">
        <f aca="false">C3+C4+C5</f>
        <v>162.3144</v>
      </c>
      <c r="D6" s="48" t="n">
        <f aca="false">D3+D4+D5</f>
        <v>149.76766433125</v>
      </c>
      <c r="E6" s="48" t="n">
        <f aca="false">E3+E4+E5</f>
        <v>131.520039945769</v>
      </c>
      <c r="F6" s="48" t="n">
        <f aca="false">F3+F4+F5</f>
        <v>107.320031992511</v>
      </c>
      <c r="G6" s="48" t="n">
        <f aca="false">G3+G4+G5</f>
        <v>76.8754840699482</v>
      </c>
    </row>
    <row r="7" customFormat="false" ht="15" hidden="false" customHeight="true" outlineLevel="0" collapsed="false">
      <c r="A7" s="21" t="s">
        <v>117</v>
      </c>
      <c r="B7" s="70" t="n">
        <v>0</v>
      </c>
      <c r="C7" s="41" t="n">
        <f aca="false">-C3*Assumptions!$C$33</f>
        <v>-14.92876</v>
      </c>
      <c r="D7" s="41" t="n">
        <f aca="false">-D3*Assumptions!$C$33</f>
        <v>-14.2836672</v>
      </c>
      <c r="E7" s="41" t="n">
        <f aca="false">-E3*Assumptions!$C$33</f>
        <v>-13.17955446115</v>
      </c>
      <c r="F7" s="41" t="n">
        <f aca="false">-F3*Assumptions!$C$33</f>
        <v>-11.5737635152276</v>
      </c>
      <c r="G7" s="41" t="n">
        <f aca="false">-G3*Assumptions!$C$33</f>
        <v>-9.44416281534101</v>
      </c>
    </row>
    <row r="8" customFormat="false" ht="6" hidden="false" customHeight="true" outlineLevel="0" collapsed="false">
      <c r="A8" s="19"/>
      <c r="B8" s="19"/>
      <c r="C8" s="19"/>
      <c r="D8" s="19"/>
      <c r="E8" s="19"/>
      <c r="F8" s="19"/>
      <c r="G8" s="19"/>
    </row>
    <row r="9" customFormat="false" ht="15" hidden="false" customHeight="true" outlineLevel="0" collapsed="false">
      <c r="A9" s="20" t="s">
        <v>118</v>
      </c>
      <c r="B9" s="20"/>
      <c r="C9" s="20"/>
      <c r="D9" s="20"/>
      <c r="E9" s="20"/>
      <c r="F9" s="20"/>
      <c r="G9" s="20"/>
    </row>
    <row r="10" customFormat="false" ht="15" hidden="false" customHeight="true" outlineLevel="0" collapsed="false">
      <c r="A10" s="21" t="s">
        <v>119</v>
      </c>
      <c r="B10" s="69" t="n">
        <f aca="false">Assumptions!C45</f>
        <v>72.705</v>
      </c>
      <c r="C10" s="41" t="n">
        <f aca="false">B10</f>
        <v>72.705</v>
      </c>
      <c r="D10" s="41" t="n">
        <f aca="false">C10</f>
        <v>72.705</v>
      </c>
      <c r="E10" s="41" t="n">
        <f aca="false">D10</f>
        <v>72.705</v>
      </c>
      <c r="F10" s="41" t="n">
        <f aca="false">E10</f>
        <v>72.705</v>
      </c>
      <c r="G10" s="41" t="n">
        <f aca="false">F10</f>
        <v>72.705</v>
      </c>
    </row>
    <row r="11" customFormat="false" ht="15" hidden="false" customHeight="true" outlineLevel="0" collapsed="false">
      <c r="A11" s="21" t="s">
        <v>104</v>
      </c>
      <c r="B11" s="70" t="n">
        <v>0</v>
      </c>
      <c r="C11" s="41" t="n">
        <f aca="false">-C10*Assumptions!$C$34</f>
        <v>-6.179925</v>
      </c>
      <c r="D11" s="41" t="n">
        <f aca="false">-D10*Assumptions!$C$34</f>
        <v>-6.179925</v>
      </c>
      <c r="E11" s="41" t="n">
        <f aca="false">-E10*Assumptions!$C$34</f>
        <v>-6.179925</v>
      </c>
      <c r="F11" s="41" t="n">
        <f aca="false">-F10*Assumptions!$C$34</f>
        <v>-6.179925</v>
      </c>
      <c r="G11" s="41" t="n">
        <f aca="false">-G10*Assumptions!$C$34</f>
        <v>-6.179925</v>
      </c>
    </row>
    <row r="12" customFormat="false" ht="6" hidden="false" customHeight="true" outlineLevel="0" collapsed="false">
      <c r="A12" s="19"/>
      <c r="B12" s="19"/>
      <c r="C12" s="19"/>
      <c r="D12" s="19"/>
      <c r="E12" s="19"/>
      <c r="F12" s="19"/>
      <c r="G12" s="19"/>
    </row>
    <row r="13" customFormat="false" ht="15" hidden="false" customHeight="true" outlineLevel="0" collapsed="false">
      <c r="A13" s="20" t="s">
        <v>120</v>
      </c>
      <c r="B13" s="20"/>
      <c r="C13" s="20"/>
      <c r="D13" s="20"/>
      <c r="E13" s="20"/>
      <c r="F13" s="20"/>
      <c r="G13" s="20"/>
    </row>
    <row r="14" customFormat="false" ht="15" hidden="false" customHeight="true" outlineLevel="0" collapsed="false">
      <c r="A14" s="21" t="s">
        <v>113</v>
      </c>
      <c r="B14" s="69" t="n">
        <f aca="false">Assumptions!C46</f>
        <v>24.235</v>
      </c>
      <c r="C14" s="41" t="n">
        <f aca="false">B16</f>
        <v>24.235</v>
      </c>
      <c r="D14" s="41" t="n">
        <f aca="false">C16</f>
        <v>26.294975</v>
      </c>
      <c r="E14" s="41" t="n">
        <f aca="false">D16</f>
        <v>28.530047875</v>
      </c>
      <c r="F14" s="41" t="n">
        <f aca="false">E16</f>
        <v>30.955101944375</v>
      </c>
      <c r="G14" s="41" t="n">
        <f aca="false">F16</f>
        <v>33.5862856096469</v>
      </c>
    </row>
    <row r="15" customFormat="false" ht="15" hidden="false" customHeight="true" outlineLevel="0" collapsed="false">
      <c r="A15" s="21" t="s">
        <v>121</v>
      </c>
      <c r="B15" s="70" t="n">
        <v>0</v>
      </c>
      <c r="C15" s="41" t="n">
        <f aca="false">C14*Assumptions!$C$35</f>
        <v>2.059975</v>
      </c>
      <c r="D15" s="41" t="n">
        <f aca="false">D14*Assumptions!$C$35</f>
        <v>2.235072875</v>
      </c>
      <c r="E15" s="41" t="n">
        <f aca="false">E14*Assumptions!$C$35</f>
        <v>2.425054069375</v>
      </c>
      <c r="F15" s="41" t="n">
        <f aca="false">F14*Assumptions!$C$35</f>
        <v>2.63118366527188</v>
      </c>
      <c r="G15" s="41" t="n">
        <f aca="false">G14*Assumptions!$C$35</f>
        <v>2.85483427681999</v>
      </c>
    </row>
    <row r="16" customFormat="false" ht="15" hidden="false" customHeight="true" outlineLevel="0" collapsed="false">
      <c r="A16" s="30" t="s">
        <v>116</v>
      </c>
      <c r="B16" s="48" t="n">
        <f aca="false">B14+B15</f>
        <v>24.235</v>
      </c>
      <c r="C16" s="48" t="n">
        <f aca="false">C14+C15</f>
        <v>26.294975</v>
      </c>
      <c r="D16" s="48" t="n">
        <f aca="false">D14+D15</f>
        <v>28.530047875</v>
      </c>
      <c r="E16" s="48" t="n">
        <f aca="false">E14+E15</f>
        <v>30.955101944375</v>
      </c>
      <c r="F16" s="48" t="n">
        <f aca="false">F14+F15</f>
        <v>33.5862856096469</v>
      </c>
      <c r="G16" s="48" t="n">
        <f aca="false">G14+G15</f>
        <v>36.4411198864669</v>
      </c>
    </row>
    <row r="17" customFormat="false" ht="6" hidden="false" customHeight="true" outlineLevel="0" collapsed="false">
      <c r="A17" s="19"/>
      <c r="B17" s="19"/>
      <c r="C17" s="19"/>
      <c r="D17" s="19"/>
      <c r="E17" s="19"/>
      <c r="F17" s="19"/>
      <c r="G17" s="19"/>
    </row>
    <row r="18" customFormat="false" ht="15" hidden="false" customHeight="true" outlineLevel="0" collapsed="false">
      <c r="A18" s="20" t="s">
        <v>122</v>
      </c>
      <c r="B18" s="20"/>
      <c r="C18" s="20"/>
      <c r="D18" s="20"/>
      <c r="E18" s="20"/>
      <c r="F18" s="20"/>
      <c r="G18" s="20"/>
    </row>
    <row r="19" customFormat="false" ht="15" hidden="false" customHeight="true" outlineLevel="0" collapsed="false">
      <c r="A19" s="21" t="s">
        <v>123</v>
      </c>
      <c r="B19" s="54" t="n">
        <f aca="false">B7+B11</f>
        <v>0</v>
      </c>
      <c r="C19" s="54" t="n">
        <f aca="false">C7+C11</f>
        <v>-21.108685</v>
      </c>
      <c r="D19" s="54" t="n">
        <f aca="false">D7+D11</f>
        <v>-20.4635922</v>
      </c>
      <c r="E19" s="54" t="n">
        <f aca="false">E7+E11</f>
        <v>-19.35947946115</v>
      </c>
      <c r="F19" s="54" t="n">
        <f aca="false">F7+F11</f>
        <v>-17.7536885152276</v>
      </c>
      <c r="G19" s="54" t="n">
        <f aca="false">G7+G11</f>
        <v>-15.624087815341</v>
      </c>
    </row>
    <row r="20" customFormat="false" ht="15" hidden="false" customHeight="true" outlineLevel="0" collapsed="false">
      <c r="A20" s="21" t="s">
        <v>124</v>
      </c>
      <c r="B20" s="40" t="n">
        <f aca="false">B15</f>
        <v>0</v>
      </c>
      <c r="C20" s="40" t="n">
        <f aca="false">C15</f>
        <v>2.059975</v>
      </c>
      <c r="D20" s="40" t="n">
        <f aca="false">D15</f>
        <v>2.235072875</v>
      </c>
      <c r="E20" s="40" t="n">
        <f aca="false">E15</f>
        <v>2.425054069375</v>
      </c>
      <c r="F20" s="40" t="n">
        <f aca="false">F15</f>
        <v>2.63118366527188</v>
      </c>
      <c r="G20" s="40" t="n">
        <f aca="false">G15</f>
        <v>2.85483427681999</v>
      </c>
    </row>
    <row r="21" customFormat="false" ht="15" hidden="false" customHeight="true" outlineLevel="0" collapsed="false">
      <c r="A21" s="30" t="s">
        <v>125</v>
      </c>
      <c r="B21" s="48" t="n">
        <f aca="false">B6+B10+B16</f>
        <v>266.585</v>
      </c>
      <c r="C21" s="48" t="n">
        <f aca="false">C6+C10+C16</f>
        <v>261.314375</v>
      </c>
      <c r="D21" s="48" t="n">
        <f aca="false">D6+D10+D16</f>
        <v>251.00271220625</v>
      </c>
      <c r="E21" s="48" t="n">
        <f aca="false">E6+E10+E16</f>
        <v>235.180141890144</v>
      </c>
      <c r="F21" s="48" t="n">
        <f aca="false">F6+F10+F16</f>
        <v>213.611317602158</v>
      </c>
      <c r="G21" s="48" t="n">
        <f aca="false">G6+G10+G16</f>
        <v>186.021603956415</v>
      </c>
    </row>
    <row r="22" customFormat="false" ht="15" hidden="false" customHeight="true" outlineLevel="0" collapsed="false">
      <c r="A22" s="63" t="s">
        <v>126</v>
      </c>
      <c r="B22" s="71" t="n">
        <f aca="false">B21/'Income Stmt'!B12</f>
        <v>10.1905581039755</v>
      </c>
      <c r="C22" s="71" t="n">
        <f aca="false">C21/'Income Stmt'!C12</f>
        <v>8.09861277433975</v>
      </c>
      <c r="D22" s="71" t="n">
        <f aca="false">D21/'Income Stmt'!D12</f>
        <v>6.46658796492281</v>
      </c>
      <c r="E22" s="71" t="n">
        <f aca="false">E21/'Income Stmt'!E12</f>
        <v>5.16756840830718</v>
      </c>
      <c r="F22" s="71" t="n">
        <f aca="false">F21/'Income Stmt'!F12</f>
        <v>4.10986475215318</v>
      </c>
      <c r="G22" s="71" t="n">
        <f aca="false">G21/'Income Stmt'!G12</f>
        <v>3.19071562506265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1"/>
  </cols>
  <sheetData>
    <row r="1" customFormat="false" ht="15" hidden="false" customHeight="true" outlineLevel="0" collapsed="false">
      <c r="A1" s="17" t="s">
        <v>127</v>
      </c>
      <c r="B1" s="18" t="s">
        <v>111</v>
      </c>
      <c r="C1" s="18" t="s">
        <v>84</v>
      </c>
      <c r="D1" s="18" t="s">
        <v>85</v>
      </c>
      <c r="E1" s="18" t="s">
        <v>86</v>
      </c>
      <c r="F1" s="18" t="s">
        <v>87</v>
      </c>
      <c r="G1" s="18" t="s">
        <v>88</v>
      </c>
    </row>
    <row r="2" customFormat="false" ht="15" hidden="false" customHeight="true" outlineLevel="0" collapsed="false">
      <c r="A2" s="20" t="s">
        <v>128</v>
      </c>
      <c r="B2" s="20"/>
      <c r="C2" s="20"/>
      <c r="D2" s="20"/>
      <c r="E2" s="20"/>
      <c r="F2" s="20"/>
      <c r="G2" s="20"/>
    </row>
    <row r="3" customFormat="false" ht="15" hidden="false" customHeight="true" outlineLevel="0" collapsed="false">
      <c r="A3" s="21" t="s">
        <v>99</v>
      </c>
      <c r="B3" s="66" t="n">
        <f aca="false">'Income Stmt'!B12</f>
        <v>26.16</v>
      </c>
      <c r="C3" s="66" t="n">
        <f aca="false">'Income Stmt'!C12</f>
        <v>32.26656</v>
      </c>
      <c r="D3" s="66" t="n">
        <f aca="false">'Income Stmt'!D12</f>
        <v>38.8153248</v>
      </c>
      <c r="E3" s="66" t="n">
        <f aca="false">'Income Stmt'!E12</f>
        <v>45.510794112</v>
      </c>
      <c r="F3" s="66" t="n">
        <f aca="false">'Income Stmt'!F12</f>
        <v>51.97526694528</v>
      </c>
      <c r="G3" s="66" t="n">
        <f aca="false">'Income Stmt'!G12</f>
        <v>58.30090356384</v>
      </c>
    </row>
    <row r="4" customFormat="false" ht="15" hidden="false" customHeight="true" outlineLevel="0" collapsed="false">
      <c r="A4" s="21" t="s">
        <v>129</v>
      </c>
      <c r="B4" s="40" t="n">
        <f aca="false">-'Income Stmt'!B6*Assumptions!$C$28</f>
        <v>-1.2</v>
      </c>
      <c r="C4" s="40" t="n">
        <f aca="false">-'Income Stmt'!C6*Assumptions!$C$28</f>
        <v>-1.464</v>
      </c>
      <c r="D4" s="40" t="n">
        <f aca="false">-'Income Stmt'!D6*Assumptions!$C$28</f>
        <v>-1.74216</v>
      </c>
      <c r="E4" s="40" t="n">
        <f aca="false">-'Income Stmt'!E6*Assumptions!$C$28</f>
        <v>-2.0209056</v>
      </c>
      <c r="F4" s="40" t="n">
        <f aca="false">-'Income Stmt'!F6*Assumptions!$C$28</f>
        <v>-2.283623328</v>
      </c>
      <c r="G4" s="40" t="n">
        <f aca="false">-'Income Stmt'!G6*Assumptions!$C$28</f>
        <v>-2.53482189408</v>
      </c>
    </row>
    <row r="5" customFormat="false" ht="15" hidden="false" customHeight="true" outlineLevel="0" collapsed="false">
      <c r="A5" s="21" t="s">
        <v>130</v>
      </c>
      <c r="B5" s="62" t="n">
        <v>0</v>
      </c>
      <c r="C5" s="54" t="n">
        <f aca="false">('Income Stmt'!C6-'Income Stmt'!B6)*Assumptions!$C$29</f>
        <v>-0.528</v>
      </c>
      <c r="D5" s="54" t="n">
        <f aca="false">('Income Stmt'!D6-'Income Stmt'!C6)*Assumptions!$C$29</f>
        <v>-0.55632</v>
      </c>
      <c r="E5" s="54" t="n">
        <f aca="false">('Income Stmt'!E6-'Income Stmt'!D6)*Assumptions!$C$29</f>
        <v>-0.5574912</v>
      </c>
      <c r="F5" s="54" t="n">
        <f aca="false">('Income Stmt'!F6-'Income Stmt'!E6)*Assumptions!$C$29</f>
        <v>-0.525435456</v>
      </c>
      <c r="G5" s="54" t="n">
        <f aca="false">('Income Stmt'!G6-'Income Stmt'!F6)*Assumptions!$C$29</f>
        <v>-0.50239713216</v>
      </c>
    </row>
    <row r="6" customFormat="false" ht="15" hidden="false" customHeight="true" outlineLevel="0" collapsed="false">
      <c r="A6" s="21" t="s">
        <v>131</v>
      </c>
      <c r="B6" s="47" t="n">
        <f aca="false">'Income Stmt'!B20</f>
        <v>-6.18</v>
      </c>
      <c r="C6" s="47" t="n">
        <f aca="false">'Income Stmt'!C20</f>
        <v>-1.835275</v>
      </c>
      <c r="D6" s="47" t="n">
        <f aca="false">'Income Stmt'!D20</f>
        <v>-3.50651693125</v>
      </c>
      <c r="E6" s="47" t="n">
        <f aca="false">'Income Stmt'!E20</f>
        <v>-5.32529346536875</v>
      </c>
      <c r="F6" s="47" t="n">
        <f aca="false">'Income Stmt'!F20</f>
        <v>-7.21251169279512</v>
      </c>
      <c r="G6" s="47" t="n">
        <f aca="false">'Income Stmt'!G20</f>
        <v>-9.19504879969575</v>
      </c>
    </row>
    <row r="7" customFormat="false" ht="15" hidden="false" customHeight="true" outlineLevel="0" collapsed="false">
      <c r="A7" s="30" t="s">
        <v>132</v>
      </c>
      <c r="B7" s="48" t="n">
        <f aca="false">SUM(B3:B6)</f>
        <v>18.78</v>
      </c>
      <c r="C7" s="48" t="n">
        <f aca="false">SUM(C3:C6)</f>
        <v>28.439285</v>
      </c>
      <c r="D7" s="48" t="n">
        <f aca="false">SUM(D3:D6)</f>
        <v>33.01032786875</v>
      </c>
      <c r="E7" s="48" t="n">
        <f aca="false">SUM(E3:E6)</f>
        <v>37.6071038466313</v>
      </c>
      <c r="F7" s="48" t="n">
        <f aca="false">SUM(F3:F6)</f>
        <v>41.9536964684849</v>
      </c>
      <c r="G7" s="48" t="n">
        <f aca="false">SUM(G3:G6)</f>
        <v>46.0686357379042</v>
      </c>
    </row>
    <row r="8" customFormat="false" ht="6" hidden="false" customHeight="true" outlineLevel="0" collapsed="false">
      <c r="A8" s="19"/>
      <c r="B8" s="19"/>
      <c r="C8" s="19"/>
      <c r="D8" s="19"/>
      <c r="E8" s="19"/>
      <c r="F8" s="19"/>
      <c r="G8" s="19"/>
    </row>
    <row r="9" customFormat="false" ht="15" hidden="false" customHeight="true" outlineLevel="0" collapsed="false">
      <c r="A9" s="20" t="s">
        <v>133</v>
      </c>
      <c r="B9" s="20"/>
      <c r="C9" s="20"/>
      <c r="D9" s="20"/>
      <c r="E9" s="20"/>
      <c r="F9" s="20"/>
      <c r="G9" s="20"/>
    </row>
    <row r="10" customFormat="false" ht="15" hidden="false" customHeight="true" outlineLevel="0" collapsed="false">
      <c r="A10" s="21" t="s">
        <v>132</v>
      </c>
      <c r="B10" s="40" t="n">
        <f aca="false">B7</f>
        <v>18.78</v>
      </c>
      <c r="C10" s="40" t="n">
        <f aca="false">C7</f>
        <v>28.439285</v>
      </c>
      <c r="D10" s="40" t="n">
        <f aca="false">D7</f>
        <v>33.01032786875</v>
      </c>
      <c r="E10" s="40" t="n">
        <f aca="false">E7</f>
        <v>37.6071038466313</v>
      </c>
      <c r="F10" s="40" t="n">
        <f aca="false">F7</f>
        <v>41.9536964684849</v>
      </c>
      <c r="G10" s="40" t="n">
        <f aca="false">G7</f>
        <v>46.0686357379042</v>
      </c>
    </row>
    <row r="11" customFormat="false" ht="15" hidden="false" customHeight="true" outlineLevel="0" collapsed="false">
      <c r="A11" s="21" t="s">
        <v>134</v>
      </c>
      <c r="B11" s="66" t="n">
        <f aca="false">'Debt Schedule'!B19</f>
        <v>0</v>
      </c>
      <c r="C11" s="66" t="n">
        <f aca="false">'Debt Schedule'!C19</f>
        <v>-21.108685</v>
      </c>
      <c r="D11" s="66" t="n">
        <f aca="false">'Debt Schedule'!D19</f>
        <v>-20.4635922</v>
      </c>
      <c r="E11" s="66" t="n">
        <f aca="false">'Debt Schedule'!E19</f>
        <v>-19.35947946115</v>
      </c>
      <c r="F11" s="66" t="n">
        <f aca="false">'Debt Schedule'!F19</f>
        <v>-17.7536885152276</v>
      </c>
      <c r="G11" s="66" t="n">
        <f aca="false">'Debt Schedule'!G19</f>
        <v>-15.624087815341</v>
      </c>
    </row>
    <row r="12" customFormat="false" ht="15" hidden="false" customHeight="true" outlineLevel="0" collapsed="false">
      <c r="A12" s="30" t="s">
        <v>135</v>
      </c>
      <c r="B12" s="48" t="n">
        <f aca="false">B10+B11</f>
        <v>18.78</v>
      </c>
      <c r="C12" s="48" t="n">
        <f aca="false">C10+C11</f>
        <v>7.3306</v>
      </c>
      <c r="D12" s="48" t="n">
        <f aca="false">D10+D11</f>
        <v>12.54673566875</v>
      </c>
      <c r="E12" s="48" t="n">
        <f aca="false">E10+E11</f>
        <v>18.2476243854813</v>
      </c>
      <c r="F12" s="48" t="n">
        <f aca="false">F10+F11</f>
        <v>24.2000079532572</v>
      </c>
      <c r="G12" s="48" t="n">
        <f aca="false">G10+G11</f>
        <v>30.4445479225632</v>
      </c>
    </row>
    <row r="13" customFormat="false" ht="15" hidden="false" customHeight="true" outlineLevel="0" collapsed="false">
      <c r="A13" s="21" t="s">
        <v>136</v>
      </c>
      <c r="B13" s="66" t="n">
        <f aca="false">'Debt Schedule'!B4</f>
        <v>0</v>
      </c>
      <c r="C13" s="66" t="n">
        <f aca="false">'Debt Schedule'!C4</f>
        <v>-1.69645</v>
      </c>
      <c r="D13" s="66" t="n">
        <f aca="false">'Debt Schedule'!D4</f>
        <v>-1.69645</v>
      </c>
      <c r="E13" s="66" t="n">
        <f aca="false">'Debt Schedule'!E4</f>
        <v>-1.69645</v>
      </c>
      <c r="F13" s="66" t="n">
        <f aca="false">'Debt Schedule'!F4</f>
        <v>-1.69645</v>
      </c>
      <c r="G13" s="66" t="n">
        <f aca="false">'Debt Schedule'!G4</f>
        <v>-1.69645</v>
      </c>
    </row>
    <row r="14" customFormat="false" ht="15" hidden="false" customHeight="true" outlineLevel="0" collapsed="false">
      <c r="A14" s="21" t="s">
        <v>137</v>
      </c>
      <c r="B14" s="47" t="n">
        <f aca="false">'Debt Schedule'!B5</f>
        <v>0</v>
      </c>
      <c r="C14" s="47" t="n">
        <f aca="false">'Debt Schedule'!C5</f>
        <v>-5.63415</v>
      </c>
      <c r="D14" s="47" t="n">
        <f aca="false">'Debt Schedule'!D5</f>
        <v>-10.85028566875</v>
      </c>
      <c r="E14" s="47" t="n">
        <f aca="false">'Debt Schedule'!E5</f>
        <v>-16.5511743854813</v>
      </c>
      <c r="F14" s="47" t="n">
        <f aca="false">'Debt Schedule'!F5</f>
        <v>-22.5035579532572</v>
      </c>
      <c r="G14" s="47" t="n">
        <f aca="false">'Debt Schedule'!G5</f>
        <v>-28.7480979225632</v>
      </c>
    </row>
    <row r="15" customFormat="false" ht="15" hidden="false" customHeight="true" outlineLevel="0" collapsed="false">
      <c r="A15" s="30" t="s">
        <v>138</v>
      </c>
      <c r="B15" s="48" t="n">
        <f aca="false">B12+B13+B14</f>
        <v>18.78</v>
      </c>
      <c r="C15" s="48" t="n">
        <f aca="false">C12+C13+C14</f>
        <v>0</v>
      </c>
      <c r="D15" s="48" t="n">
        <f aca="false">D12+D13+D14</f>
        <v>0</v>
      </c>
      <c r="E15" s="48" t="n">
        <f aca="false">E12+E13+E14</f>
        <v>0</v>
      </c>
      <c r="F15" s="48" t="n">
        <f aca="false">F12+F13+F14</f>
        <v>0</v>
      </c>
      <c r="G15" s="48" t="n">
        <f aca="false">G12+G13+G14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32"/>
  </cols>
  <sheetData>
    <row r="1" customFormat="false" ht="15" hidden="false" customHeight="true" outlineLevel="0" collapsed="false">
      <c r="A1" s="17" t="s">
        <v>139</v>
      </c>
      <c r="B1" s="17"/>
      <c r="C1" s="17"/>
      <c r="D1" s="17"/>
      <c r="E1" s="17"/>
    </row>
    <row r="2" customFormat="false" ht="15" hidden="false" customHeight="true" outlineLevel="0" collapsed="false">
      <c r="A2" s="20" t="s">
        <v>140</v>
      </c>
      <c r="B2" s="20"/>
      <c r="C2" s="20"/>
      <c r="D2" s="20"/>
      <c r="E2" s="20"/>
    </row>
    <row r="3" customFormat="false" ht="15" hidden="false" customHeight="true" outlineLevel="0" collapsed="false">
      <c r="A3" s="28" t="s">
        <v>36</v>
      </c>
      <c r="B3" s="72" t="n">
        <f aca="false">Assumptions!C16</f>
        <v>5</v>
      </c>
      <c r="C3" s="19"/>
      <c r="D3" s="19"/>
      <c r="E3" s="19"/>
    </row>
    <row r="4" customFormat="false" ht="15" hidden="false" customHeight="true" outlineLevel="0" collapsed="false">
      <c r="A4" s="10" t="s">
        <v>141</v>
      </c>
      <c r="B4" s="47" t="n">
        <f aca="false">'Income Stmt'!G12</f>
        <v>58.30090356384</v>
      </c>
      <c r="C4" s="19"/>
      <c r="D4" s="19"/>
      <c r="E4" s="19"/>
    </row>
    <row r="5" customFormat="false" ht="15" hidden="false" customHeight="true" outlineLevel="0" collapsed="false">
      <c r="A5" s="28" t="s">
        <v>142</v>
      </c>
      <c r="B5" s="73" t="n">
        <f aca="false">Assumptions!C18</f>
        <v>15</v>
      </c>
      <c r="C5" s="19"/>
      <c r="D5" s="19"/>
      <c r="E5" s="19"/>
    </row>
    <row r="6" customFormat="false" ht="15" hidden="false" customHeight="true" outlineLevel="0" collapsed="false">
      <c r="A6" s="10" t="s">
        <v>143</v>
      </c>
      <c r="B6" s="40" t="n">
        <f aca="false">B4*B5</f>
        <v>874.5135534576</v>
      </c>
      <c r="C6" s="19"/>
      <c r="D6" s="19"/>
      <c r="E6" s="19"/>
    </row>
    <row r="7" customFormat="false" ht="15" hidden="false" customHeight="true" outlineLevel="0" collapsed="false">
      <c r="A7" s="28" t="s">
        <v>144</v>
      </c>
      <c r="B7" s="66" t="n">
        <f aca="false">-'Debt Schedule'!G21</f>
        <v>-186.021603956415</v>
      </c>
      <c r="C7" s="19"/>
      <c r="D7" s="19"/>
      <c r="E7" s="19"/>
    </row>
    <row r="8" customFormat="false" ht="15" hidden="false" customHeight="true" outlineLevel="0" collapsed="false">
      <c r="A8" s="10" t="s">
        <v>145</v>
      </c>
      <c r="B8" s="74" t="n">
        <f aca="false">B6+B7</f>
        <v>688.491949501185</v>
      </c>
      <c r="C8" s="19"/>
      <c r="D8" s="19"/>
      <c r="E8" s="19"/>
    </row>
    <row r="9" customFormat="false" ht="15" hidden="false" customHeight="true" outlineLevel="0" collapsed="false">
      <c r="A9" s="28" t="s">
        <v>146</v>
      </c>
      <c r="B9" s="56" t="n">
        <f aca="false">Assumptions!C48/(Assumptions!C48+Assumptions!C47)</f>
        <v>0.938144329896907</v>
      </c>
      <c r="C9" s="19"/>
      <c r="D9" s="19"/>
      <c r="E9" s="19"/>
    </row>
    <row r="10" customFormat="false" ht="15" hidden="false" customHeight="true" outlineLevel="0" collapsed="false">
      <c r="A10" s="10" t="s">
        <v>147</v>
      </c>
      <c r="B10" s="74" t="n">
        <f aca="false">B8*B9</f>
        <v>645.904818604204</v>
      </c>
      <c r="C10" s="19"/>
      <c r="D10" s="19"/>
      <c r="E10" s="19"/>
    </row>
    <row r="11" customFormat="false" ht="6" hidden="false" customHeight="true" outlineLevel="0" collapsed="false">
      <c r="A11" s="19"/>
      <c r="B11" s="19"/>
      <c r="C11" s="19"/>
      <c r="D11" s="19"/>
      <c r="E11" s="19"/>
    </row>
    <row r="12" customFormat="false" ht="15" hidden="false" customHeight="true" outlineLevel="0" collapsed="false">
      <c r="A12" s="20" t="s">
        <v>148</v>
      </c>
      <c r="B12" s="20"/>
      <c r="C12" s="20"/>
      <c r="D12" s="26" t="s">
        <v>149</v>
      </c>
      <c r="E12" s="20"/>
    </row>
    <row r="13" customFormat="false" ht="15" hidden="false" customHeight="true" outlineLevel="0" collapsed="false">
      <c r="A13" s="28" t="s">
        <v>150</v>
      </c>
      <c r="B13" s="54" t="n">
        <f aca="false">Assumptions!C48</f>
        <v>220.5385</v>
      </c>
      <c r="C13" s="19"/>
      <c r="D13" s="75" t="s">
        <v>151</v>
      </c>
      <c r="E13" s="19"/>
    </row>
    <row r="14" customFormat="false" ht="15" hidden="false" customHeight="true" outlineLevel="0" collapsed="false">
      <c r="A14" s="10" t="s">
        <v>147</v>
      </c>
      <c r="B14" s="40" t="n">
        <f aca="false">B10</f>
        <v>645.904818604204</v>
      </c>
      <c r="C14" s="19"/>
      <c r="D14" s="76" t="s">
        <v>151</v>
      </c>
      <c r="E14" s="19"/>
    </row>
    <row r="15" customFormat="false" ht="15" hidden="false" customHeight="true" outlineLevel="0" collapsed="false">
      <c r="A15" s="28" t="s">
        <v>152</v>
      </c>
      <c r="B15" s="55" t="n">
        <f aca="false">B14/B13</f>
        <v>2.92876218258583</v>
      </c>
      <c r="C15" s="19"/>
      <c r="D15" s="75" t="s">
        <v>153</v>
      </c>
      <c r="E15" s="19"/>
    </row>
    <row r="16" customFormat="false" ht="15" hidden="false" customHeight="true" outlineLevel="0" collapsed="false">
      <c r="A16" s="77" t="s">
        <v>154</v>
      </c>
      <c r="B16" s="78" t="n">
        <f aca="false">(B14/B13)^(1/B3)-1</f>
        <v>0.239757720827366</v>
      </c>
      <c r="C16" s="19"/>
      <c r="D16" s="76" t="s">
        <v>155</v>
      </c>
      <c r="E16" s="19"/>
    </row>
    <row r="17" customFormat="false" ht="15" hidden="false" customHeight="true" outlineLevel="0" collapsed="false">
      <c r="A17" s="28" t="s">
        <v>156</v>
      </c>
      <c r="B17" s="54" t="n">
        <f aca="false">B24+B25+B27</f>
        <v>560.831554883363</v>
      </c>
      <c r="C17" s="19"/>
      <c r="D17" s="75" t="s">
        <v>151</v>
      </c>
      <c r="E17" s="19"/>
    </row>
    <row r="18" customFormat="false" ht="15" hidden="false" customHeight="true" outlineLevel="0" collapsed="false">
      <c r="A18" s="10" t="s">
        <v>157</v>
      </c>
      <c r="B18" s="52" t="n">
        <f aca="false">B17/B13</f>
        <v>2.54300974606866</v>
      </c>
      <c r="C18" s="19"/>
      <c r="D18" s="76" t="s">
        <v>158</v>
      </c>
      <c r="E18" s="19"/>
    </row>
    <row r="19" customFormat="false" ht="15" hidden="false" customHeight="true" outlineLevel="0" collapsed="false">
      <c r="A19" s="79" t="s">
        <v>159</v>
      </c>
      <c r="B19" s="80" t="n">
        <f aca="false">(B17/B13)^(1/B3)-1</f>
        <v>0.205229088472724</v>
      </c>
      <c r="C19" s="19"/>
      <c r="D19" s="75" t="s">
        <v>160</v>
      </c>
      <c r="E19" s="19"/>
    </row>
    <row r="20" customFormat="false" ht="15" hidden="false" customHeight="true" outlineLevel="0" collapsed="false">
      <c r="A20" s="10" t="s">
        <v>161</v>
      </c>
      <c r="B20" s="40" t="n">
        <f aca="false">B26+B28</f>
        <v>85.0732637208409</v>
      </c>
      <c r="C20" s="19"/>
      <c r="D20" s="76" t="s">
        <v>162</v>
      </c>
      <c r="E20" s="19"/>
    </row>
    <row r="21" customFormat="false" ht="6" hidden="false" customHeight="true" outlineLevel="0" collapsed="false">
      <c r="A21" s="19"/>
      <c r="B21" s="19"/>
      <c r="C21" s="19"/>
      <c r="D21" s="19"/>
      <c r="E21" s="19"/>
    </row>
    <row r="22" customFormat="false" ht="15" hidden="false" customHeight="true" outlineLevel="0" collapsed="false">
      <c r="A22" s="20" t="s">
        <v>163</v>
      </c>
      <c r="B22" s="20"/>
      <c r="C22" s="20"/>
      <c r="D22" s="20"/>
      <c r="E22" s="20"/>
    </row>
    <row r="23" customFormat="false" ht="15" hidden="false" customHeight="true" outlineLevel="0" collapsed="false">
      <c r="A23" s="45" t="s">
        <v>164</v>
      </c>
      <c r="B23" s="51" t="s">
        <v>165</v>
      </c>
      <c r="C23" s="51" t="s">
        <v>166</v>
      </c>
      <c r="D23" s="51" t="s">
        <v>167</v>
      </c>
      <c r="E23" s="45" t="s">
        <v>168</v>
      </c>
    </row>
    <row r="24" customFormat="false" ht="15" hidden="false" customHeight="true" outlineLevel="0" collapsed="false">
      <c r="A24" s="10" t="s">
        <v>169</v>
      </c>
      <c r="B24" s="40" t="n">
        <f aca="false">B13</f>
        <v>220.5385</v>
      </c>
      <c r="C24" s="53" t="n">
        <f aca="false">B24/$B$10</f>
        <v>0.34144117468667</v>
      </c>
      <c r="D24" s="76" t="s">
        <v>170</v>
      </c>
      <c r="E24" s="15" t="s">
        <v>171</v>
      </c>
    </row>
    <row r="25" customFormat="false" ht="15" hidden="false" customHeight="true" outlineLevel="0" collapsed="false">
      <c r="A25" s="28" t="s">
        <v>172</v>
      </c>
      <c r="B25" s="54" t="n">
        <f aca="false">B13*(1.08^B3)-B13</f>
        <v>103.504910065357</v>
      </c>
      <c r="C25" s="56" t="n">
        <f aca="false">B25/$B$10</f>
        <v>0.160247929856028</v>
      </c>
      <c r="D25" s="75" t="s">
        <v>170</v>
      </c>
      <c r="E25" s="57" t="s">
        <v>173</v>
      </c>
    </row>
    <row r="26" customFormat="false" ht="15" hidden="false" customHeight="true" outlineLevel="0" collapsed="false">
      <c r="A26" s="10" t="s">
        <v>174</v>
      </c>
      <c r="B26" s="40" t="n">
        <f aca="false">B25*0.2/0.8</f>
        <v>25.8762275163392</v>
      </c>
      <c r="C26" s="53" t="n">
        <f aca="false">B26/$B$10</f>
        <v>0.040061982464007</v>
      </c>
      <c r="D26" s="76" t="s">
        <v>175</v>
      </c>
      <c r="E26" s="15" t="s">
        <v>176</v>
      </c>
    </row>
    <row r="27" customFormat="false" ht="15" hidden="false" customHeight="true" outlineLevel="0" collapsed="false">
      <c r="A27" s="28" t="s">
        <v>177</v>
      </c>
      <c r="B27" s="54" t="n">
        <f aca="false">(B10-B24-B25-B26)*0.8</f>
        <v>236.788144818006</v>
      </c>
      <c r="C27" s="56" t="n">
        <f aca="false">B27/$B$10</f>
        <v>0.366599130394636</v>
      </c>
      <c r="D27" s="75" t="s">
        <v>170</v>
      </c>
      <c r="E27" s="57" t="s">
        <v>178</v>
      </c>
    </row>
    <row r="28" customFormat="false" ht="15" hidden="false" customHeight="true" outlineLevel="0" collapsed="false">
      <c r="A28" s="10" t="s">
        <v>179</v>
      </c>
      <c r="B28" s="40" t="n">
        <f aca="false">(B10-B24-B25-B26)*0.2</f>
        <v>59.1970362045016</v>
      </c>
      <c r="C28" s="53" t="n">
        <f aca="false">B28/$B$10</f>
        <v>0.091649782598659</v>
      </c>
      <c r="D28" s="76" t="s">
        <v>175</v>
      </c>
      <c r="E28" s="15" t="s">
        <v>180</v>
      </c>
    </row>
    <row r="29" customFormat="false" ht="15" hidden="false" customHeight="true" outlineLevel="0" collapsed="false">
      <c r="A29" s="30" t="s">
        <v>181</v>
      </c>
      <c r="B29" s="48" t="n">
        <f aca="false">SUM(B24:B28)</f>
        <v>645.904818604204</v>
      </c>
      <c r="C29" s="81" t="n">
        <f aca="false">B29/$B$10</f>
        <v>1</v>
      </c>
      <c r="D29" s="31"/>
      <c r="E29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0.51"/>
  </cols>
  <sheetData>
    <row r="1" customFormat="false" ht="15" hidden="false" customHeight="true" outlineLevel="0" collapsed="false">
      <c r="A1" s="17" t="s">
        <v>182</v>
      </c>
      <c r="B1" s="17"/>
      <c r="C1" s="17"/>
      <c r="D1" s="17"/>
      <c r="E1" s="17"/>
      <c r="F1" s="17"/>
    </row>
    <row r="2" customFormat="false" ht="15" hidden="false" customHeight="true" outlineLevel="0" collapsed="false">
      <c r="A2" s="20" t="s">
        <v>183</v>
      </c>
      <c r="B2" s="20"/>
      <c r="C2" s="20"/>
      <c r="D2" s="20"/>
      <c r="E2" s="20"/>
      <c r="F2" s="20"/>
    </row>
    <row r="3" customFormat="false" ht="15" hidden="false" customHeight="true" outlineLevel="0" collapsed="false">
      <c r="A3" s="82" t="s">
        <v>184</v>
      </c>
      <c r="B3" s="83" t="s">
        <v>185</v>
      </c>
      <c r="C3" s="83" t="s">
        <v>186</v>
      </c>
      <c r="D3" s="83" t="s">
        <v>187</v>
      </c>
      <c r="E3" s="83" t="s">
        <v>188</v>
      </c>
      <c r="F3" s="83" t="s">
        <v>189</v>
      </c>
    </row>
    <row r="4" customFormat="false" ht="15" hidden="false" customHeight="true" outlineLevel="0" collapsed="false">
      <c r="A4" s="84" t="s">
        <v>190</v>
      </c>
      <c r="B4" s="85" t="n">
        <f aca="false">((('Income Stmt'!$G$12*VALUE(SUBSTITUTE(B$3,"x",""))-'Debt Schedule'!$G$21*(VALUE(SUBSTITUTE($A4,"x",""))/Assumptions!$C$17))*Returns!$B$9)/(Returns!$B$13*(VALUE(SUBSTITUTE($A4,"x",""))/Assumptions!$C$17)))^(1/Assumptions!$C$16)-1</f>
        <v>0.230719360346602</v>
      </c>
      <c r="C4" s="86" t="n">
        <f aca="false">((('Income Stmt'!$G$12*VALUE(SUBSTITUTE(C$3,"x",""))-'Debt Schedule'!$G$21*(VALUE(SUBSTITUTE($A4,"x",""))/Assumptions!$C$17))*Returns!$B$9)/(Returns!$B$13*(VALUE(SUBSTITUTE($A4,"x",""))/Assumptions!$C$17)))^(1/Assumptions!$C$16)-1</f>
        <v>0.254057803418304</v>
      </c>
      <c r="D4" s="86" t="n">
        <f aca="false">((('Income Stmt'!$G$12*VALUE(SUBSTITUTE(D$3,"x",""))-'Debt Schedule'!$G$21*(VALUE(SUBSTITUTE($A4,"x",""))/Assumptions!$C$17))*Returns!$B$9)/(Returns!$B$13*(VALUE(SUBSTITUTE($A4,"x",""))/Assumptions!$C$17)))^(1/Assumptions!$C$16)-1</f>
        <v>0.275778056937153</v>
      </c>
      <c r="E4" s="86" t="n">
        <f aca="false">((('Income Stmt'!$G$12*VALUE(SUBSTITUTE(E$3,"x",""))-'Debt Schedule'!$G$21*(VALUE(SUBSTITUTE($A4,"x",""))/Assumptions!$C$17))*Returns!$B$9)/(Returns!$B$13*(VALUE(SUBSTITUTE($A4,"x",""))/Assumptions!$C$17)))^(1/Assumptions!$C$16)-1</f>
        <v>0.29611258070205</v>
      </c>
      <c r="F4" s="87" t="n">
        <f aca="false">((('Income Stmt'!$G$12*VALUE(SUBSTITUTE(F$3,"x",""))-'Debt Schedule'!$G$21*(VALUE(SUBSTITUTE($A4,"x",""))/Assumptions!$C$17))*Returns!$B$9)/(Returns!$B$13*(VALUE(SUBSTITUTE($A4,"x",""))/Assumptions!$C$17)))^(1/Assumptions!$C$16)-1</f>
        <v>0.315245701625316</v>
      </c>
    </row>
    <row r="5" customFormat="false" ht="15" hidden="false" customHeight="true" outlineLevel="0" collapsed="false">
      <c r="A5" s="84" t="s">
        <v>191</v>
      </c>
      <c r="B5" s="85" t="n">
        <f aca="false">((('Income Stmt'!$G$12*VALUE(SUBSTITUTE(B$3,"x",""))-'Debt Schedule'!$G$21*(VALUE(SUBSTITUTE($A5,"x",""))/Assumptions!$C$17))*Returns!$B$9)/(Returns!$B$13*(VALUE(SUBSTITUTE($A5,"x",""))/Assumptions!$C$17)))^(1/Assumptions!$C$16)-1</f>
        <v>0.212160776525955</v>
      </c>
      <c r="C5" s="85" t="n">
        <f aca="false">((('Income Stmt'!$G$12*VALUE(SUBSTITUTE(C$3,"x",""))-'Debt Schedule'!$G$21*(VALUE(SUBSTITUTE($A5,"x",""))/Assumptions!$C$17))*Returns!$B$9)/(Returns!$B$13*(VALUE(SUBSTITUTE($A5,"x",""))/Assumptions!$C$17)))^(1/Assumptions!$C$16)-1</f>
        <v>0.235529716566369</v>
      </c>
      <c r="D5" s="86" t="n">
        <f aca="false">((('Income Stmt'!$G$12*VALUE(SUBSTITUTE(D$3,"x",""))-'Debt Schedule'!$G$21*(VALUE(SUBSTITUTE($A5,"x",""))/Assumptions!$C$17))*Returns!$B$9)/(Returns!$B$13*(VALUE(SUBSTITUTE($A5,"x",""))/Assumptions!$C$17)))^(1/Assumptions!$C$16)-1</f>
        <v>0.25725372768922</v>
      </c>
      <c r="E5" s="86" t="n">
        <f aca="false">((('Income Stmt'!$G$12*VALUE(SUBSTITUTE(E$3,"x",""))-'Debt Schedule'!$G$21*(VALUE(SUBSTITUTE($A5,"x",""))/Assumptions!$C$17))*Returns!$B$9)/(Returns!$B$13*(VALUE(SUBSTITUTE($A5,"x",""))/Assumptions!$C$17)))^(1/Assumptions!$C$16)-1</f>
        <v>0.277572415991884</v>
      </c>
      <c r="F5" s="86" t="n">
        <f aca="false">((('Income Stmt'!$G$12*VALUE(SUBSTITUTE(F$3,"x",""))-'Debt Schedule'!$G$21*(VALUE(SUBSTITUTE($A5,"x",""))/Assumptions!$C$17))*Returns!$B$9)/(Returns!$B$13*(VALUE(SUBSTITUTE($A5,"x",""))/Assumptions!$C$17)))^(1/Assumptions!$C$16)-1</f>
        <v>0.29667513230277</v>
      </c>
    </row>
    <row r="6" customFormat="false" ht="15" hidden="false" customHeight="true" outlineLevel="0" collapsed="false">
      <c r="A6" s="84" t="s">
        <v>192</v>
      </c>
      <c r="B6" s="88" t="n">
        <f aca="false">((('Income Stmt'!$G$12*VALUE(SUBSTITUTE(B$3,"x",""))-'Debt Schedule'!$G$21*(VALUE(SUBSTITUTE($A6,"x",""))/Assumptions!$C$17))*Returns!$B$9)/(Returns!$B$13*(VALUE(SUBSTITUTE($A6,"x",""))/Assumptions!$C$17)))^(1/Assumptions!$C$16)-1</f>
        <v>0.194591913244683</v>
      </c>
      <c r="C6" s="85" t="n">
        <f aca="false">((('Income Stmt'!$G$12*VALUE(SUBSTITUTE(C$3,"x",""))-'Debt Schedule'!$G$21*(VALUE(SUBSTITUTE($A6,"x",""))/Assumptions!$C$17))*Returns!$B$9)/(Returns!$B$13*(VALUE(SUBSTITUTE($A6,"x",""))/Assumptions!$C$17)))^(1/Assumptions!$C$16)-1</f>
        <v>0.218011795093531</v>
      </c>
      <c r="D6" s="89" t="n">
        <f aca="false">((('Income Stmt'!$G$12*VALUE(SUBSTITUTE(D$3,"x",""))-'Debt Schedule'!$G$21*(VALUE(SUBSTITUTE($A6,"x",""))/Assumptions!$C$17))*Returns!$B$9)/(Returns!$B$13*(VALUE(SUBSTITUTE($A6,"x",""))/Assumptions!$C$17)))^(1/Assumptions!$C$16)-1</f>
        <v>0.239757720827366</v>
      </c>
      <c r="E6" s="86" t="n">
        <f aca="false">((('Income Stmt'!$G$12*VALUE(SUBSTITUTE(E$3,"x",""))-'Debt Schedule'!$G$21*(VALUE(SUBSTITUTE($A6,"x",""))/Assumptions!$C$17))*Returns!$B$9)/(Returns!$B$13*(VALUE(SUBSTITUTE($A6,"x",""))/Assumptions!$C$17)))^(1/Assumptions!$C$16)-1</f>
        <v>0.260076983795329</v>
      </c>
      <c r="F6" s="86" t="n">
        <f aca="false">((('Income Stmt'!$G$12*VALUE(SUBSTITUTE(F$3,"x",""))-'Debt Schedule'!$G$21*(VALUE(SUBSTITUTE($A6,"x",""))/Assumptions!$C$17))*Returns!$B$9)/(Returns!$B$13*(VALUE(SUBSTITUTE($A6,"x",""))/Assumptions!$C$17)))^(1/Assumptions!$C$16)-1</f>
        <v>0.279164328983007</v>
      </c>
    </row>
    <row r="7" customFormat="false" ht="15" hidden="false" customHeight="true" outlineLevel="0" collapsed="false">
      <c r="A7" s="84" t="s">
        <v>193</v>
      </c>
      <c r="B7" s="88" t="n">
        <f aca="false">((('Income Stmt'!$G$12*VALUE(SUBSTITUTE(B$3,"x",""))-'Debt Schedule'!$G$21*(VALUE(SUBSTITUTE($A7,"x",""))/Assumptions!$C$17))*Returns!$B$9)/(Returns!$B$13*(VALUE(SUBSTITUTE($A7,"x",""))/Assumptions!$C$17)))^(1/Assumptions!$C$16)-1</f>
        <v>0.177894021664369</v>
      </c>
      <c r="C7" s="85" t="n">
        <f aca="false">((('Income Stmt'!$G$12*VALUE(SUBSTITUTE(C$3,"x",""))-'Debt Schedule'!$G$21*(VALUE(SUBSTITUTE($A7,"x",""))/Assumptions!$C$17))*Returns!$B$9)/(Returns!$B$13*(VALUE(SUBSTITUTE($A7,"x",""))/Assumptions!$C$17)))^(1/Assumptions!$C$16)-1</f>
        <v>0.201383978168406</v>
      </c>
      <c r="D7" s="85" t="n">
        <f aca="false">((('Income Stmt'!$G$12*VALUE(SUBSTITUTE(D$3,"x",""))-'Debt Schedule'!$G$21*(VALUE(SUBSTITUTE($A7,"x",""))/Assumptions!$C$17))*Returns!$B$9)/(Returns!$B$13*(VALUE(SUBSTITUTE($A7,"x",""))/Assumptions!$C$17)))^(1/Assumptions!$C$16)-1</f>
        <v>0.223168651061457</v>
      </c>
      <c r="E7" s="86" t="n">
        <f aca="false">((('Income Stmt'!$G$12*VALUE(SUBSTITUTE(E$3,"x",""))-'Debt Schedule'!$G$21*(VALUE(SUBSTITUTE($A7,"x",""))/Assumptions!$C$17))*Returns!$B$9)/(Returns!$B$13*(VALUE(SUBSTITUTE($A7,"x",""))/Assumptions!$C$17)))^(1/Assumptions!$C$16)-1</f>
        <v>0.243503587152294</v>
      </c>
      <c r="F7" s="86" t="n">
        <f aca="false">((('Income Stmt'!$G$12*VALUE(SUBSTITUTE(F$3,"x",""))-'Debt Schedule'!$G$21*(VALUE(SUBSTITUTE($A7,"x",""))/Assumptions!$C$17))*Returns!$B$9)/(Returns!$B$13*(VALUE(SUBSTITUTE($A7,"x",""))/Assumptions!$C$17)))^(1/Assumptions!$C$16)-1</f>
        <v>0.262589308820376</v>
      </c>
    </row>
    <row r="8" customFormat="false" ht="15" hidden="false" customHeight="true" outlineLevel="0" collapsed="false">
      <c r="A8" s="84" t="s">
        <v>194</v>
      </c>
      <c r="B8" s="88" t="n">
        <f aca="false">((('Income Stmt'!$G$12*VALUE(SUBSTITUTE(B$3,"x",""))-'Debt Schedule'!$G$21*(VALUE(SUBSTITUTE($A8,"x",""))/Assumptions!$C$17))*Returns!$B$9)/(Returns!$B$13*(VALUE(SUBSTITUTE($A8,"x",""))/Assumptions!$C$17)))^(1/Assumptions!$C$16)-1</f>
        <v>0.161966922757583</v>
      </c>
      <c r="C8" s="88" t="n">
        <f aca="false">((('Income Stmt'!$G$12*VALUE(SUBSTITUTE(C$3,"x",""))-'Debt Schedule'!$G$21*(VALUE(SUBSTITUTE($A8,"x",""))/Assumptions!$C$17))*Returns!$B$9)/(Returns!$B$13*(VALUE(SUBSTITUTE($A8,"x",""))/Assumptions!$C$17)))^(1/Assumptions!$C$16)-1</f>
        <v>0.185545059771333</v>
      </c>
      <c r="D8" s="85" t="n">
        <f aca="false">((('Income Stmt'!$G$12*VALUE(SUBSTITUTE(D$3,"x",""))-'Debt Schedule'!$G$21*(VALUE(SUBSTITUTE($A8,"x",""))/Assumptions!$C$17))*Returns!$B$9)/(Returns!$B$13*(VALUE(SUBSTITUTE($A8,"x",""))/Assumptions!$C$17)))^(1/Assumptions!$C$16)-1</f>
        <v>0.20738425108048</v>
      </c>
      <c r="E8" s="85" t="n">
        <f aca="false">((('Income Stmt'!$G$12*VALUE(SUBSTITUTE(E$3,"x",""))-'Debt Schedule'!$G$21*(VALUE(SUBSTITUTE($A8,"x",""))/Assumptions!$C$17))*Returns!$B$9)/(Returns!$B$13*(VALUE(SUBSTITUTE($A8,"x",""))/Assumptions!$C$17)))^(1/Assumptions!$C$16)-1</f>
        <v>0.227748893216106</v>
      </c>
      <c r="F8" s="86" t="n">
        <f aca="false">((('Income Stmt'!$G$12*VALUE(SUBSTITUTE(F$3,"x",""))-'Debt Schedule'!$G$21*(VALUE(SUBSTITUTE($A8,"x",""))/Assumptions!$C$17))*Returns!$B$9)/(Returns!$B$13*(VALUE(SUBSTITUTE($A8,"x",""))/Assumptions!$C$17)))^(1/Assumptions!$C$16)-1</f>
        <v>0.246845685273659</v>
      </c>
    </row>
    <row r="9" customFormat="false" ht="6" hidden="false" customHeight="true" outlineLevel="0" collapsed="false">
      <c r="A9" s="19"/>
      <c r="B9" s="19"/>
      <c r="C9" s="19"/>
      <c r="D9" s="19"/>
      <c r="E9" s="19"/>
      <c r="F9" s="19"/>
    </row>
    <row r="10" customFormat="false" ht="15" hidden="false" customHeight="true" outlineLevel="0" collapsed="false">
      <c r="A10" s="20" t="s">
        <v>195</v>
      </c>
      <c r="B10" s="20"/>
      <c r="C10" s="20"/>
      <c r="D10" s="20"/>
      <c r="E10" s="20"/>
      <c r="F10" s="20"/>
    </row>
    <row r="11" customFormat="false" ht="15" hidden="false" customHeight="true" outlineLevel="0" collapsed="false">
      <c r="A11" s="82" t="s">
        <v>184</v>
      </c>
      <c r="B11" s="83" t="s">
        <v>185</v>
      </c>
      <c r="C11" s="83" t="s">
        <v>186</v>
      </c>
      <c r="D11" s="83" t="s">
        <v>187</v>
      </c>
      <c r="E11" s="83" t="s">
        <v>188</v>
      </c>
      <c r="F11" s="83" t="s">
        <v>189</v>
      </c>
    </row>
    <row r="12" customFormat="false" ht="15" hidden="false" customHeight="true" outlineLevel="0" collapsed="false">
      <c r="A12" s="84" t="s">
        <v>190</v>
      </c>
      <c r="B12" s="90" t="n">
        <f aca="false">(('Income Stmt'!$G$12*VALUE(SUBSTITUTE(B$11,"x",""))-'Debt Schedule'!$G$21*(VALUE(SUBSTITUTE($A12,"x",""))/Assumptions!$C$17))*Returns!$B$9)/(Returns!$B$13*(VALUE(SUBSTITUTE($A12,"x",""))/Assumptions!$C$17))</f>
        <v>2.82354791820528</v>
      </c>
      <c r="C12" s="91" t="n">
        <f aca="false">(('Income Stmt'!$G$12*VALUE(SUBSTITUTE(C$11,"x",""))-'Debt Schedule'!$G$21*(VALUE(SUBSTITUTE($A12,"x",""))/Assumptions!$C$17))*Returns!$B$9)/(Returns!$B$13*(VALUE(SUBSTITUTE($A12,"x",""))/Assumptions!$C$17))</f>
        <v>3.10161418835387</v>
      </c>
      <c r="D12" s="91" t="n">
        <f aca="false">(('Income Stmt'!$G$12*VALUE(SUBSTITUTE(D$11,"x",""))-'Debt Schedule'!$G$21*(VALUE(SUBSTITUTE($A12,"x",""))/Assumptions!$C$17))*Returns!$B$9)/(Returns!$B$13*(VALUE(SUBSTITUTE($A12,"x",""))/Assumptions!$C$17))</f>
        <v>3.37968045850247</v>
      </c>
      <c r="E12" s="92" t="n">
        <f aca="false">(('Income Stmt'!$G$12*VALUE(SUBSTITUTE(E$11,"x",""))-'Debt Schedule'!$G$21*(VALUE(SUBSTITUTE($A12,"x",""))/Assumptions!$C$17))*Returns!$B$9)/(Returns!$B$13*(VALUE(SUBSTITUTE($A12,"x",""))/Assumptions!$C$17))</f>
        <v>3.65774672865106</v>
      </c>
      <c r="F12" s="92" t="n">
        <f aca="false">(('Income Stmt'!$G$12*VALUE(SUBSTITUTE(F$11,"x",""))-'Debt Schedule'!$G$21*(VALUE(SUBSTITUTE($A12,"x",""))/Assumptions!$C$17))*Returns!$B$9)/(Returns!$B$13*(VALUE(SUBSTITUTE($A12,"x",""))/Assumptions!$C$17))</f>
        <v>3.93581299879965</v>
      </c>
    </row>
    <row r="13" customFormat="false" ht="15" hidden="false" customHeight="true" outlineLevel="0" collapsed="false">
      <c r="A13" s="84" t="s">
        <v>191</v>
      </c>
      <c r="B13" s="90" t="n">
        <f aca="false">(('Income Stmt'!$G$12*VALUE(SUBSTITUTE(B$11,"x",""))-'Debt Schedule'!$G$21*(VALUE(SUBSTITUTE($A13,"x",""))/Assumptions!$C$17))*Returns!$B$9)/(Returns!$B$13*(VALUE(SUBSTITUTE($A13,"x",""))/Assumptions!$C$17))</f>
        <v>2.61698440323775</v>
      </c>
      <c r="C13" s="90" t="n">
        <f aca="false">(('Income Stmt'!$G$12*VALUE(SUBSTITUTE(C$11,"x",""))-'Debt Schedule'!$G$21*(VALUE(SUBSTITUTE($A13,"x",""))/Assumptions!$C$17))*Returns!$B$9)/(Returns!$B$13*(VALUE(SUBSTITUTE($A13,"x",""))/Assumptions!$C$17))</f>
        <v>2.879161172235</v>
      </c>
      <c r="D13" s="91" t="n">
        <f aca="false">(('Income Stmt'!$G$12*VALUE(SUBSTITUTE(D$11,"x",""))-'Debt Schedule'!$G$21*(VALUE(SUBSTITUTE($A13,"x",""))/Assumptions!$C$17))*Returns!$B$9)/(Returns!$B$13*(VALUE(SUBSTITUTE($A13,"x",""))/Assumptions!$C$17))</f>
        <v>3.14133794123224</v>
      </c>
      <c r="E13" s="91" t="n">
        <f aca="false">(('Income Stmt'!$G$12*VALUE(SUBSTITUTE(E$11,"x",""))-'Debt Schedule'!$G$21*(VALUE(SUBSTITUTE($A13,"x",""))/Assumptions!$C$17))*Returns!$B$9)/(Returns!$B$13*(VALUE(SUBSTITUTE($A13,"x",""))/Assumptions!$C$17))</f>
        <v>3.40351471022949</v>
      </c>
      <c r="F13" s="92" t="n">
        <f aca="false">(('Income Stmt'!$G$12*VALUE(SUBSTITUTE(F$11,"x",""))-'Debt Schedule'!$G$21*(VALUE(SUBSTITUTE($A13,"x",""))/Assumptions!$C$17))*Returns!$B$9)/(Returns!$B$13*(VALUE(SUBSTITUTE($A13,"x",""))/Assumptions!$C$17))</f>
        <v>3.66569147922673</v>
      </c>
    </row>
    <row r="14" customFormat="false" ht="15" hidden="false" customHeight="true" outlineLevel="0" collapsed="false">
      <c r="A14" s="84" t="s">
        <v>192</v>
      </c>
      <c r="B14" s="93" t="n">
        <f aca="false">(('Income Stmt'!$G$12*VALUE(SUBSTITUTE(B$11,"x",""))-'Debt Schedule'!$G$21*(VALUE(SUBSTITUTE($A14,"x",""))/Assumptions!$C$17))*Returns!$B$9)/(Returns!$B$13*(VALUE(SUBSTITUTE($A14,"x",""))/Assumptions!$C$17))</f>
        <v>2.43275207907752</v>
      </c>
      <c r="C14" s="90" t="n">
        <f aca="false">(('Income Stmt'!$G$12*VALUE(SUBSTITUTE(C$11,"x",""))-'Debt Schedule'!$G$21*(VALUE(SUBSTITUTE($A14,"x",""))/Assumptions!$C$17))*Returns!$B$9)/(Returns!$B$13*(VALUE(SUBSTITUTE($A14,"x",""))/Assumptions!$C$17))</f>
        <v>2.68075713083167</v>
      </c>
      <c r="D14" s="94" t="n">
        <f aca="false">(('Income Stmt'!$G$12*VALUE(SUBSTITUTE(D$11,"x",""))-'Debt Schedule'!$G$21*(VALUE(SUBSTITUTE($A14,"x",""))/Assumptions!$C$17))*Returns!$B$9)/(Returns!$B$13*(VALUE(SUBSTITUTE($A14,"x",""))/Assumptions!$C$17))</f>
        <v>2.92876218258583</v>
      </c>
      <c r="E14" s="91" t="n">
        <f aca="false">(('Income Stmt'!$G$12*VALUE(SUBSTITUTE(E$11,"x",""))-'Debt Schedule'!$G$21*(VALUE(SUBSTITUTE($A14,"x",""))/Assumptions!$C$17))*Returns!$B$9)/(Returns!$B$13*(VALUE(SUBSTITUTE($A14,"x",""))/Assumptions!$C$17))</f>
        <v>3.17676723433998</v>
      </c>
      <c r="F14" s="91" t="n">
        <f aca="false">(('Income Stmt'!$G$12*VALUE(SUBSTITUTE(F$11,"x",""))-'Debt Schedule'!$G$21*(VALUE(SUBSTITUTE($A14,"x",""))/Assumptions!$C$17))*Returns!$B$9)/(Returns!$B$13*(VALUE(SUBSTITUTE($A14,"x",""))/Assumptions!$C$17))</f>
        <v>3.42477228609413</v>
      </c>
    </row>
    <row r="15" customFormat="false" ht="15" hidden="false" customHeight="true" outlineLevel="0" collapsed="false">
      <c r="A15" s="84" t="s">
        <v>193</v>
      </c>
      <c r="B15" s="93" t="n">
        <f aca="false">(('Income Stmt'!$G$12*VALUE(SUBSTITUTE(B$11,"x",""))-'Debt Schedule'!$G$21*(VALUE(SUBSTITUTE($A15,"x",""))/Assumptions!$C$17))*Returns!$B$9)/(Returns!$B$13*(VALUE(SUBSTITUTE($A15,"x",""))/Assumptions!$C$17))</f>
        <v>2.26741537790809</v>
      </c>
      <c r="C15" s="90" t="n">
        <f aca="false">(('Income Stmt'!$G$12*VALUE(SUBSTITUTE(C$11,"x",""))-'Debt Schedule'!$G$21*(VALUE(SUBSTITUTE($A15,"x",""))/Assumptions!$C$17))*Returns!$B$9)/(Returns!$B$13*(VALUE(SUBSTITUTE($A15,"x",""))/Assumptions!$C$17))</f>
        <v>2.50270222187998</v>
      </c>
      <c r="D15" s="90" t="n">
        <f aca="false">(('Income Stmt'!$G$12*VALUE(SUBSTITUTE(D$11,"x",""))-'Debt Schedule'!$G$21*(VALUE(SUBSTITUTE($A15,"x",""))/Assumptions!$C$17))*Returns!$B$9)/(Returns!$B$13*(VALUE(SUBSTITUTE($A15,"x",""))/Assumptions!$C$17))</f>
        <v>2.73798906585186</v>
      </c>
      <c r="E15" s="91" t="n">
        <f aca="false">(('Income Stmt'!$G$12*VALUE(SUBSTITUTE(E$11,"x",""))-'Debt Schedule'!$G$21*(VALUE(SUBSTITUTE($A15,"x",""))/Assumptions!$C$17))*Returns!$B$9)/(Returns!$B$13*(VALUE(SUBSTITUTE($A15,"x",""))/Assumptions!$C$17))</f>
        <v>2.97327590982375</v>
      </c>
      <c r="F15" s="91" t="n">
        <f aca="false">(('Income Stmt'!$G$12*VALUE(SUBSTITUTE(F$11,"x",""))-'Debt Schedule'!$G$21*(VALUE(SUBSTITUTE($A15,"x",""))/Assumptions!$C$17))*Returns!$B$9)/(Returns!$B$13*(VALUE(SUBSTITUTE($A15,"x",""))/Assumptions!$C$17))</f>
        <v>3.20856275379564</v>
      </c>
    </row>
    <row r="16" customFormat="false" ht="15" hidden="false" customHeight="true" outlineLevel="0" collapsed="false">
      <c r="A16" s="84" t="s">
        <v>194</v>
      </c>
      <c r="B16" s="93" t="n">
        <f aca="false">(('Income Stmt'!$G$12*VALUE(SUBSTITUTE(B$11,"x",""))-'Debt Schedule'!$G$21*(VALUE(SUBSTITUTE($A16,"x",""))/Assumptions!$C$17))*Returns!$B$9)/(Returns!$B$13*(VALUE(SUBSTITUTE($A16,"x",""))/Assumptions!$C$17))</f>
        <v>2.11820908660884</v>
      </c>
      <c r="C16" s="93" t="n">
        <f aca="false">(('Income Stmt'!$G$12*VALUE(SUBSTITUTE(C$11,"x",""))-'Debt Schedule'!$G$21*(VALUE(SUBSTITUTE($A16,"x",""))/Assumptions!$C$17))*Returns!$B$9)/(Returns!$B$13*(VALUE(SUBSTITUTE($A16,"x",""))/Assumptions!$C$17))</f>
        <v>2.34201852355771</v>
      </c>
      <c r="D16" s="90" t="n">
        <f aca="false">(('Income Stmt'!$G$12*VALUE(SUBSTITUTE(D$11,"x",""))-'Debt Schedule'!$G$21*(VALUE(SUBSTITUTE($A16,"x",""))/Assumptions!$C$17))*Returns!$B$9)/(Returns!$B$13*(VALUE(SUBSTITUTE($A16,"x",""))/Assumptions!$C$17))</f>
        <v>2.56582796050658</v>
      </c>
      <c r="E16" s="90" t="n">
        <f aca="false">(('Income Stmt'!$G$12*VALUE(SUBSTITUTE(E$11,"x",""))-'Debt Schedule'!$G$21*(VALUE(SUBSTITUTE($A16,"x",""))/Assumptions!$C$17))*Returns!$B$9)/(Returns!$B$13*(VALUE(SUBSTITUTE($A16,"x",""))/Assumptions!$C$17))</f>
        <v>2.78963739745545</v>
      </c>
      <c r="F16" s="91" t="n">
        <f aca="false">(('Income Stmt'!$G$12*VALUE(SUBSTITUTE(F$11,"x",""))-'Debt Schedule'!$G$21*(VALUE(SUBSTITUTE($A16,"x",""))/Assumptions!$C$17))*Returns!$B$9)/(Returns!$B$13*(VALUE(SUBSTITUTE($A16,"x",""))/Assumptions!$C$17))</f>
        <v>3.01344683440432</v>
      </c>
    </row>
    <row r="17" customFormat="false" ht="6" hidden="false" customHeight="true" outlineLevel="0" collapsed="false">
      <c r="A17" s="19"/>
      <c r="B17" s="19"/>
      <c r="C17" s="19"/>
      <c r="D17" s="19"/>
      <c r="E17" s="19"/>
      <c r="F17" s="19"/>
    </row>
    <row r="18" customFormat="false" ht="15" hidden="false" customHeight="true" outlineLevel="0" collapsed="false">
      <c r="A18" s="20" t="s">
        <v>196</v>
      </c>
      <c r="B18" s="20"/>
      <c r="C18" s="20"/>
      <c r="D18" s="20"/>
      <c r="E18" s="20"/>
      <c r="F18" s="20"/>
    </row>
    <row r="19" customFormat="false" ht="15" hidden="false" customHeight="true" outlineLevel="0" collapsed="false">
      <c r="A19" s="95" t="s">
        <v>197</v>
      </c>
      <c r="B19" s="19"/>
      <c r="C19" s="19"/>
      <c r="D19" s="19"/>
      <c r="E19" s="19"/>
      <c r="F19" s="19"/>
    </row>
    <row r="20" customFormat="false" ht="15" hidden="false" customHeight="true" outlineLevel="0" collapsed="false">
      <c r="A20" s="96" t="s">
        <v>198</v>
      </c>
      <c r="B20" s="19"/>
      <c r="C20" s="19"/>
      <c r="D20" s="19"/>
      <c r="E20" s="19"/>
      <c r="F20" s="19"/>
    </row>
    <row r="21" customFormat="false" ht="15" hidden="false" customHeight="true" outlineLevel="0" collapsed="false">
      <c r="A21" s="97" t="s">
        <v>199</v>
      </c>
      <c r="B21" s="19"/>
      <c r="C21" s="19"/>
      <c r="D21" s="19"/>
      <c r="E21" s="19"/>
      <c r="F21" s="19"/>
    </row>
    <row r="22" customFormat="false" ht="15" hidden="false" customHeight="true" outlineLevel="0" collapsed="false">
      <c r="A22" s="98" t="s">
        <v>200</v>
      </c>
      <c r="B22" s="19"/>
      <c r="C22" s="19"/>
      <c r="D22" s="19"/>
      <c r="E22" s="19"/>
      <c r="F22" s="19"/>
    </row>
    <row r="23" customFormat="false" ht="15" hidden="false" customHeight="true" outlineLevel="0" collapsed="false">
      <c r="A23" s="99" t="s">
        <v>201</v>
      </c>
      <c r="B23" s="19"/>
      <c r="C23" s="19"/>
      <c r="D23" s="19"/>
      <c r="E23" s="19"/>
      <c r="F23" s="19"/>
    </row>
    <row r="24" customFormat="false" ht="6" hidden="false" customHeight="true" outlineLevel="0" collapsed="false">
      <c r="A24" s="19"/>
      <c r="B24" s="19"/>
      <c r="C24" s="19"/>
      <c r="D24" s="19"/>
      <c r="E24" s="19"/>
      <c r="F24" s="19"/>
    </row>
    <row r="25" customFormat="false" ht="15" hidden="false" customHeight="true" outlineLevel="0" collapsed="false">
      <c r="A25" s="100" t="s">
        <v>202</v>
      </c>
      <c r="B25" s="19"/>
      <c r="C25" s="19"/>
      <c r="D25" s="19"/>
      <c r="E25" s="19"/>
      <c r="F25" s="19"/>
    </row>
    <row r="26" customFormat="false" ht="15" hidden="false" customHeight="true" outlineLevel="0" collapsed="false">
      <c r="A26" s="100" t="s">
        <v>203</v>
      </c>
      <c r="B26" s="19"/>
      <c r="C26" s="19"/>
      <c r="D26" s="19"/>
      <c r="E26" s="19"/>
      <c r="F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AppVersion>16.0300</AppVersion>
  <Company>Radice Capital Partners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Financial Model</cp:category>
  <dc:creator>Alessandro Radice</dc:creator>
  <dc:description>Fictional case study - all data hypothetical. Radice Capital Partners, March 2026.</dc:description>
  <cp:keywords>LBO private equity leveraged buyout SaaS IRR MoM debt schedule carried interest</cp:keywords>
  <dc:language>en-US</dc:language>
  <cp:lastModifiedBy>Alessandro Radice</cp:lastModifiedBy>
  <cp:revision>0</cp:revision>
  <dc:subject>LBO model: 5-year hold, three-tranche debt, returns and carry waterfall, sensitivity analysis</dc:subject>
  <dc:title>NovaSaaS Inc. - Leveraged Buyout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